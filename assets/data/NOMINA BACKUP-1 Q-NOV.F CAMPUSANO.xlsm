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izestevo/Documents/projects/js/Nomina/assets/data/"/>
    </mc:Choice>
  </mc:AlternateContent>
  <xr:revisionPtr revIDLastSave="0" documentId="13_ncr:1_{DA76678D-6487-5947-A740-97F70993A63E}" xr6:coauthVersionLast="47" xr6:coauthVersionMax="47" xr10:uidLastSave="{00000000-0000-0000-0000-000000000000}"/>
  <workbookProtection workbookAlgorithmName="SHA-512" workbookHashValue="hpgAjT1Ksidffh9keEm1nl8zuBf9QMx+6FTykv7CGcXLk+XuCImx9pjZaF2TR0DwyMUNFd5T6sGGd1gea5I1iw==" workbookSaltValue="JJTWA7xi4fKCcp4S1wXQAQ==" workbookSpinCount="100000" lockStructure="1"/>
  <bookViews>
    <workbookView xWindow="0" yWindow="0" windowWidth="27320" windowHeight="15360" tabRatio="655" activeTab="3" xr2:uid="{00000000-000D-0000-FFFF-FFFF00000000}"/>
  </bookViews>
  <sheets>
    <sheet name="INSTRUCCIONES" sheetId="9" r:id="rId1"/>
    <sheet name="FORMULARIO MANUAL" sheetId="1" r:id="rId2"/>
    <sheet name="DATOS" sheetId="2" state="hidden" r:id="rId3"/>
    <sheet name="HEADCOUNT BACKUP" sheetId="4" r:id="rId4"/>
    <sheet name="CONSULTA GENERAL" sheetId="12" r:id="rId5"/>
    <sheet name="CONSULTA LOCALIDADES" sheetId="11" state="hidden" r:id="rId6"/>
    <sheet name="query_LOCALIDADES" sheetId="10" state="hidden" r:id="rId7"/>
    <sheet name="CONSULTA FIJOS" sheetId="7" state="hidden" r:id="rId8"/>
    <sheet name="query_FIJOS" sheetId="6" state="hidden" r:id="rId9"/>
    <sheet name="query_BACKUP" sheetId="3" state="hidden" r:id="rId10"/>
  </sheets>
  <definedNames>
    <definedName name="ACTIVO_INACTIVO">#REF!</definedName>
    <definedName name="ACTUALIZADO_NO_ACTUALIZADO">#REF!</definedName>
    <definedName name="BACKUP" localSheetId="9" hidden="1">query_BACKUP!$A$1:$U$232</definedName>
    <definedName name="CONCEPTOS">DATOS!$C$3:$C$16</definedName>
    <definedName name="DatosExternos_1" localSheetId="7" hidden="1">'CONSULTA FIJOS'!$A$1:$F$209</definedName>
    <definedName name="DatosExternos_1" localSheetId="4" hidden="1">'CONSULTA GENERAL'!$A$1:$AL$31</definedName>
    <definedName name="DatosExternos_1" localSheetId="5" hidden="1">'CONSULTA LOCALIDADES'!$A$1:$F$102</definedName>
    <definedName name="DatosExternos_1" localSheetId="3" hidden="1">'HEADCOUNT BACKUP'!$B$1:$L$205</definedName>
    <definedName name="ERRORES">TABLA_ERRORES[ERRORES]</definedName>
    <definedName name="FIJOS" localSheetId="8" hidden="1">query_FIJOS!$A$1:$P$209</definedName>
    <definedName name="LOCA">#REF!</definedName>
    <definedName name="LOCALIDADES">TABLA.LOCALIDADES[LOCALIDADES]</definedName>
    <definedName name="LOCALIDADES_1" localSheetId="6" hidden="1">query_LOCALIDADES!$A$1:$J$347</definedName>
    <definedName name="MESES">DATOS!$D$3:$D$14</definedName>
    <definedName name="NOMBRES_FIJOS">CONSULTA_FIJOS[NOMBRE COMPLETO]</definedName>
    <definedName name="SI_NO">#REF!</definedName>
    <definedName name="SI_NO_PROCESO">#REF!</definedName>
    <definedName name="SUPERVISOR">DATOS!$B$3:$B$11</definedName>
    <definedName name="SUPERVISOR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Z10" i="1" s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Z26" i="1" s="1"/>
  <c r="V27" i="1"/>
  <c r="V28" i="1"/>
  <c r="V29" i="1"/>
  <c r="V30" i="1"/>
  <c r="Z30" i="1" s="1"/>
  <c r="V31" i="1"/>
  <c r="V32" i="1"/>
  <c r="V33" i="1"/>
  <c r="C24" i="1"/>
  <c r="C25" i="1"/>
  <c r="C26" i="1"/>
  <c r="C27" i="1"/>
  <c r="C28" i="1"/>
  <c r="C29" i="1"/>
  <c r="C30" i="1"/>
  <c r="C31" i="1"/>
  <c r="C32" i="1"/>
  <c r="C33" i="1"/>
  <c r="F24" i="1"/>
  <c r="F25" i="1"/>
  <c r="F26" i="1"/>
  <c r="F27" i="1"/>
  <c r="F28" i="1"/>
  <c r="F29" i="1"/>
  <c r="F30" i="1"/>
  <c r="F31" i="1"/>
  <c r="F32" i="1"/>
  <c r="F33" i="1"/>
  <c r="G24" i="1"/>
  <c r="G25" i="1"/>
  <c r="G26" i="1"/>
  <c r="G27" i="1"/>
  <c r="G28" i="1"/>
  <c r="G29" i="1"/>
  <c r="G30" i="1"/>
  <c r="G31" i="1"/>
  <c r="G32" i="1"/>
  <c r="G33" i="1"/>
  <c r="H24" i="1"/>
  <c r="H25" i="1"/>
  <c r="H26" i="1"/>
  <c r="H27" i="1"/>
  <c r="H28" i="1"/>
  <c r="H29" i="1"/>
  <c r="H30" i="1"/>
  <c r="H31" i="1"/>
  <c r="H32" i="1"/>
  <c r="H33" i="1"/>
  <c r="I24" i="1"/>
  <c r="I25" i="1"/>
  <c r="I26" i="1"/>
  <c r="I27" i="1"/>
  <c r="I28" i="1"/>
  <c r="I29" i="1"/>
  <c r="I30" i="1"/>
  <c r="I31" i="1"/>
  <c r="I32" i="1"/>
  <c r="I33" i="1"/>
  <c r="J24" i="1"/>
  <c r="J25" i="1"/>
  <c r="J26" i="1"/>
  <c r="J27" i="1"/>
  <c r="J28" i="1"/>
  <c r="J29" i="1"/>
  <c r="J30" i="1"/>
  <c r="J31" i="1"/>
  <c r="J32" i="1"/>
  <c r="J33" i="1"/>
  <c r="K24" i="1"/>
  <c r="K25" i="1"/>
  <c r="K26" i="1"/>
  <c r="K27" i="1"/>
  <c r="K28" i="1"/>
  <c r="K29" i="1"/>
  <c r="K30" i="1"/>
  <c r="K31" i="1"/>
  <c r="K32" i="1"/>
  <c r="K33" i="1"/>
  <c r="L24" i="1"/>
  <c r="L25" i="1"/>
  <c r="L26" i="1"/>
  <c r="L27" i="1"/>
  <c r="L28" i="1"/>
  <c r="L29" i="1"/>
  <c r="L30" i="1"/>
  <c r="L31" i="1"/>
  <c r="L32" i="1"/>
  <c r="L33" i="1"/>
  <c r="P24" i="1"/>
  <c r="P25" i="1"/>
  <c r="P26" i="1"/>
  <c r="P27" i="1"/>
  <c r="P28" i="1"/>
  <c r="P29" i="1"/>
  <c r="P30" i="1"/>
  <c r="P31" i="1"/>
  <c r="P32" i="1"/>
  <c r="P33" i="1"/>
  <c r="U24" i="1"/>
  <c r="U25" i="1"/>
  <c r="AE25" i="1" s="1"/>
  <c r="U26" i="1"/>
  <c r="AE26" i="1" s="1"/>
  <c r="U27" i="1"/>
  <c r="AE27" i="1" s="1"/>
  <c r="U28" i="1"/>
  <c r="U29" i="1"/>
  <c r="AE29" i="1" s="1"/>
  <c r="U30" i="1"/>
  <c r="U31" i="1"/>
  <c r="AE31" i="1" s="1"/>
  <c r="U32" i="1"/>
  <c r="U33" i="1"/>
  <c r="AE33" i="1" s="1"/>
  <c r="Z24" i="1"/>
  <c r="AA24" i="1" s="1"/>
  <c r="AB24" i="1" s="1"/>
  <c r="AC24" i="1" s="1"/>
  <c r="AD24" i="1" s="1"/>
  <c r="Z27" i="1"/>
  <c r="AA27" i="1" s="1"/>
  <c r="AB27" i="1" s="1"/>
  <c r="Z28" i="1"/>
  <c r="AA28" i="1" s="1"/>
  <c r="AB28" i="1" s="1"/>
  <c r="AC28" i="1" s="1"/>
  <c r="AD28" i="1" s="1"/>
  <c r="Z31" i="1"/>
  <c r="Z32" i="1"/>
  <c r="AA32" i="1" s="1"/>
  <c r="AB32" i="1" s="1"/>
  <c r="AC32" i="1" s="1"/>
  <c r="AD32" i="1" s="1"/>
  <c r="AE24" i="1"/>
  <c r="AE28" i="1"/>
  <c r="AE30" i="1"/>
  <c r="AE32" i="1"/>
  <c r="AI24" i="1"/>
  <c r="AI25" i="1"/>
  <c r="AI26" i="1"/>
  <c r="AI27" i="1"/>
  <c r="AI28" i="1"/>
  <c r="AI29" i="1"/>
  <c r="AI30" i="1"/>
  <c r="AI31" i="1"/>
  <c r="AI32" i="1"/>
  <c r="AI33" i="1"/>
  <c r="AJ24" i="1"/>
  <c r="AJ25" i="1"/>
  <c r="AJ26" i="1"/>
  <c r="AJ27" i="1"/>
  <c r="AJ28" i="1"/>
  <c r="AJ29" i="1"/>
  <c r="AJ30" i="1"/>
  <c r="AJ31" i="1"/>
  <c r="AJ32" i="1"/>
  <c r="AJ33" i="1"/>
  <c r="Z13" i="1"/>
  <c r="Z14" i="1"/>
  <c r="Z20" i="1"/>
  <c r="Z21" i="1"/>
  <c r="Z22" i="1"/>
  <c r="Z23" i="1"/>
  <c r="AJ4" i="1"/>
  <c r="AJ20" i="1"/>
  <c r="AJ21" i="1"/>
  <c r="AJ22" i="1"/>
  <c r="AJ23" i="1"/>
  <c r="AI4" i="1"/>
  <c r="AI20" i="1"/>
  <c r="AI21" i="1"/>
  <c r="AI22" i="1"/>
  <c r="AI23" i="1"/>
  <c r="AI19" i="1"/>
  <c r="AJ19" i="1"/>
  <c r="AI18" i="1"/>
  <c r="AJ18" i="1"/>
  <c r="AJ17" i="1"/>
  <c r="AI17" i="1"/>
  <c r="AI16" i="1"/>
  <c r="AI13" i="1"/>
  <c r="AI14" i="1"/>
  <c r="AI6" i="1"/>
  <c r="AI12" i="1"/>
  <c r="AI7" i="1"/>
  <c r="AI10" i="1"/>
  <c r="AJ15" i="1"/>
  <c r="AJ8" i="1"/>
  <c r="AJ13" i="1"/>
  <c r="AI15" i="1"/>
  <c r="AI9" i="1"/>
  <c r="AJ11" i="1"/>
  <c r="AJ6" i="1"/>
  <c r="AI11" i="1"/>
  <c r="AJ12" i="1"/>
  <c r="AJ16" i="1"/>
  <c r="AI8" i="1"/>
  <c r="AJ7" i="1"/>
  <c r="AJ10" i="1"/>
  <c r="AJ9" i="1"/>
  <c r="AJ5" i="1"/>
  <c r="AI5" i="1"/>
  <c r="AJ14" i="1"/>
  <c r="AA31" i="1" l="1"/>
  <c r="AB31" i="1" s="1"/>
  <c r="AA30" i="1"/>
  <c r="AB30" i="1" s="1"/>
  <c r="AC30" i="1" s="1"/>
  <c r="AD30" i="1" s="1"/>
  <c r="AA26" i="1"/>
  <c r="AB26" i="1" s="1"/>
  <c r="AC26" i="1" s="1"/>
  <c r="AD26" i="1" s="1"/>
  <c r="Z33" i="1"/>
  <c r="AA33" i="1" s="1"/>
  <c r="AB33" i="1" s="1"/>
  <c r="AC33" i="1" s="1"/>
  <c r="AD33" i="1" s="1"/>
  <c r="Z29" i="1"/>
  <c r="AA29" i="1" s="1"/>
  <c r="AB29" i="1" s="1"/>
  <c r="AC29" i="1" s="1"/>
  <c r="AD29" i="1" s="1"/>
  <c r="Z25" i="1"/>
  <c r="AA25" i="1" s="1"/>
  <c r="AB25" i="1" s="1"/>
  <c r="AC25" i="1" s="1"/>
  <c r="AD25" i="1" s="1"/>
  <c r="AC31" i="1"/>
  <c r="AD31" i="1" s="1"/>
  <c r="AC27" i="1"/>
  <c r="AD27" i="1" s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C4" i="1"/>
  <c r="AE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K4" i="1"/>
  <c r="Z4" i="1" s="1"/>
  <c r="K5" i="1"/>
  <c r="Z5" i="1" s="1"/>
  <c r="K6" i="1"/>
  <c r="Z6" i="1" s="1"/>
  <c r="AA6" i="1" s="1"/>
  <c r="AB6" i="1" s="1"/>
  <c r="K7" i="1"/>
  <c r="Z7" i="1" s="1"/>
  <c r="AA7" i="1" s="1"/>
  <c r="AB7" i="1" s="1"/>
  <c r="K8" i="1"/>
  <c r="Z8" i="1" s="1"/>
  <c r="K9" i="1"/>
  <c r="Z9" i="1" s="1"/>
  <c r="AA9" i="1" s="1"/>
  <c r="AB9" i="1" s="1"/>
  <c r="K10" i="1"/>
  <c r="K11" i="1"/>
  <c r="Z11" i="1" s="1"/>
  <c r="AA11" i="1" s="1"/>
  <c r="AB11" i="1" s="1"/>
  <c r="K12" i="1"/>
  <c r="Z12" i="1" s="1"/>
  <c r="K13" i="1"/>
  <c r="K14" i="1"/>
  <c r="K15" i="1"/>
  <c r="Z15" i="1" s="1"/>
  <c r="AA15" i="1" s="1"/>
  <c r="AB15" i="1" s="1"/>
  <c r="K16" i="1"/>
  <c r="Z16" i="1" s="1"/>
  <c r="K17" i="1"/>
  <c r="Z17" i="1" s="1"/>
  <c r="AA17" i="1" s="1"/>
  <c r="AB17" i="1" s="1"/>
  <c r="K18" i="1"/>
  <c r="Z18" i="1" s="1"/>
  <c r="K19" i="1"/>
  <c r="Z19" i="1" s="1"/>
  <c r="AA19" i="1" s="1"/>
  <c r="AB19" i="1" s="1"/>
  <c r="K20" i="1"/>
  <c r="K21" i="1"/>
  <c r="K22" i="1"/>
  <c r="K2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L6" i="1"/>
  <c r="L7" i="1"/>
  <c r="L8" i="1"/>
  <c r="L9" i="1"/>
  <c r="L5" i="1"/>
  <c r="AA5" i="1"/>
  <c r="AB5" i="1" s="1"/>
  <c r="L10" i="1"/>
  <c r="AA10" i="1"/>
  <c r="AB10" i="1" s="1"/>
  <c r="L11" i="1"/>
  <c r="L12" i="1"/>
  <c r="L13" i="1"/>
  <c r="AA13" i="1"/>
  <c r="AB13" i="1" s="1"/>
  <c r="L14" i="1"/>
  <c r="AA14" i="1"/>
  <c r="AB14" i="1" s="1"/>
  <c r="L15" i="1"/>
  <c r="L16" i="1"/>
  <c r="L17" i="1"/>
  <c r="L18" i="1"/>
  <c r="AA18" i="1"/>
  <c r="AB18" i="1" s="1"/>
  <c r="L19" i="1"/>
  <c r="L20" i="1"/>
  <c r="L21" i="1"/>
  <c r="AA21" i="1"/>
  <c r="AB21" i="1" s="1"/>
  <c r="L22" i="1"/>
  <c r="AA22" i="1"/>
  <c r="AB22" i="1" s="1"/>
  <c r="AA23" i="1"/>
  <c r="AB23" i="1" s="1"/>
  <c r="L23" i="1"/>
  <c r="AA4" i="1" l="1"/>
  <c r="AB4" i="1" s="1"/>
  <c r="AA16" i="1"/>
  <c r="AB16" i="1" s="1"/>
  <c r="AC16" i="1" s="1"/>
  <c r="AD16" i="1" s="1"/>
  <c r="AA12" i="1"/>
  <c r="AB12" i="1" s="1"/>
  <c r="AC12" i="1" s="1"/>
  <c r="AD12" i="1" s="1"/>
  <c r="AA20" i="1"/>
  <c r="AB20" i="1" s="1"/>
  <c r="AC20" i="1" s="1"/>
  <c r="AD20" i="1" s="1"/>
  <c r="AA8" i="1"/>
  <c r="AB8" i="1" s="1"/>
  <c r="AC8" i="1" s="1"/>
  <c r="AD8" i="1" s="1"/>
  <c r="AC19" i="1"/>
  <c r="AD19" i="1" s="1"/>
  <c r="AC13" i="1"/>
  <c r="AD13" i="1" s="1"/>
  <c r="AC5" i="1"/>
  <c r="AD5" i="1" s="1"/>
  <c r="AC17" i="1"/>
  <c r="AD17" i="1" s="1"/>
  <c r="AC7" i="1"/>
  <c r="AD7" i="1" s="1"/>
  <c r="AC23" i="1"/>
  <c r="AD23" i="1" s="1"/>
  <c r="AC22" i="1"/>
  <c r="AD22" i="1" s="1"/>
  <c r="AC18" i="1"/>
  <c r="AD18" i="1" s="1"/>
  <c r="AC14" i="1"/>
  <c r="AD14" i="1" s="1"/>
  <c r="AC10" i="1"/>
  <c r="AD10" i="1" s="1"/>
  <c r="AC9" i="1"/>
  <c r="AD9" i="1" s="1"/>
  <c r="AC21" i="1"/>
  <c r="AD21" i="1" s="1"/>
  <c r="AC15" i="1"/>
  <c r="AD15" i="1" s="1"/>
  <c r="AC11" i="1"/>
  <c r="AD11" i="1" s="1"/>
  <c r="AC6" i="1"/>
  <c r="AD6" i="1" s="1"/>
  <c r="AE19" i="1"/>
  <c r="AE15" i="1"/>
  <c r="AE11" i="1"/>
  <c r="AE7" i="1"/>
  <c r="AE22" i="1"/>
  <c r="AE18" i="1"/>
  <c r="AE14" i="1"/>
  <c r="AE10" i="1"/>
  <c r="AE6" i="1"/>
  <c r="AE23" i="1"/>
  <c r="AE21" i="1"/>
  <c r="AE17" i="1"/>
  <c r="AE13" i="1"/>
  <c r="AE9" i="1"/>
  <c r="AE5" i="1"/>
  <c r="AE20" i="1"/>
  <c r="AE16" i="1"/>
  <c r="AE12" i="1"/>
  <c r="AE8" i="1"/>
  <c r="L4" i="1"/>
  <c r="AC4" i="1" l="1"/>
  <c r="AD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Alfonseca - Operaciones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NOTAS DE AYUDA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Alfonseca - Operaciones</author>
  </authors>
  <commentList>
    <comment ref="C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ENUMERACION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INGRESAR NUMERO DE CEDULA COMPLETO.
VALIDAR DE QUE TENGA 11 CARACTERES.
UNA VEZ COLOCADA LA CEDULA, PRESIONAR LA TECLA "ENTER"</t>
        </r>
      </text>
    </comment>
    <comment ref="N3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LA LOCALIDAD DONDE PRESTA SERVICIO</t>
        </r>
      </text>
    </comment>
    <comment ref="Q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HORA DE ENTRADA
UTILIZAR FORMATO (HH:MM) AM O PM</t>
        </r>
      </text>
    </comment>
    <comment ref="R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HORA DE SALIDA
UTILIZAR FORMATO (HH:MM) AM O PM</t>
        </r>
      </text>
    </comment>
    <comment ref="S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FAVOR USAR EL GUIÓN(-) COMO SEPARADOR, ES NECESARIO PARA EL FUNCIONAMIENTO CORRECTO DE LA FORMULA.
EJEMPLO:       2-3-4-5 </t>
        </r>
      </text>
    </comment>
    <comment ref="X3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ESTE CAMPO APLICA SI Y SOLO SI HAY UN MONTO POR SERVICIO NEGOCIADO.
</t>
        </r>
        <r>
          <rPr>
            <b/>
            <sz val="9"/>
            <color indexed="81"/>
            <rFont val="Tahoma"/>
            <family val="2"/>
          </rPr>
          <t>POR EJEMPLO:</t>
        </r>
        <r>
          <rPr>
            <sz val="9"/>
            <color indexed="81"/>
            <rFont val="Tahoma"/>
            <charset val="1"/>
          </rPr>
          <t xml:space="preserve"> UNA ENFERMERA COBRA </t>
        </r>
        <r>
          <rPr>
            <b/>
            <sz val="9"/>
            <color indexed="81"/>
            <rFont val="Tahoma"/>
            <family val="2"/>
          </rPr>
          <t>$600</t>
        </r>
        <r>
          <rPr>
            <sz val="9"/>
            <color indexed="81"/>
            <rFont val="Tahoma"/>
            <charset val="1"/>
          </rPr>
          <t xml:space="preserve"> PESOS POR </t>
        </r>
        <r>
          <rPr>
            <b/>
            <sz val="9"/>
            <color indexed="81"/>
            <rFont val="Tahoma"/>
            <family val="2"/>
          </rPr>
          <t>8 HORAS</t>
        </r>
        <r>
          <rPr>
            <sz val="9"/>
            <color indexed="81"/>
            <rFont val="Tahoma"/>
            <charset val="1"/>
          </rPr>
          <t xml:space="preserve"> DE TRABAJO; SI HAY UN ACUERDO DE </t>
        </r>
        <r>
          <rPr>
            <b/>
            <sz val="9"/>
            <color indexed="81"/>
            <rFont val="Tahoma"/>
            <family val="2"/>
          </rPr>
          <t xml:space="preserve">$800 PESOS </t>
        </r>
        <r>
          <rPr>
            <sz val="9"/>
            <color indexed="81"/>
            <rFont val="Tahoma"/>
            <family val="2"/>
          </rPr>
          <t xml:space="preserve">POR SERVICIO, EN ESTE CAMPO SE COLOCARÍA </t>
        </r>
        <r>
          <rPr>
            <b/>
            <sz val="9"/>
            <color indexed="81"/>
            <rFont val="Tahoma"/>
            <family val="2"/>
          </rPr>
          <t>$800 PESOS.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Y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Alejandro Alfonseca - Operaciones:</t>
        </r>
        <r>
          <rPr>
            <sz val="9"/>
            <color indexed="81"/>
            <rFont val="Tahoma"/>
            <family val="2"/>
          </rPr>
          <t xml:space="preserve">
ESTE CAMPO SE UTILIZA SIEMPRE Y CUANDO HAYA UN PAGO ADICIONAL.
</t>
        </r>
        <r>
          <rPr>
            <b/>
            <sz val="9"/>
            <color indexed="81"/>
            <rFont val="Tahoma"/>
            <family val="2"/>
          </rPr>
          <t>EJEMPLO:</t>
        </r>
        <r>
          <rPr>
            <sz val="9"/>
            <color indexed="81"/>
            <rFont val="Tahoma"/>
            <family val="2"/>
          </rPr>
          <t xml:space="preserve"> PAGO DE </t>
        </r>
        <r>
          <rPr>
            <b/>
            <sz val="9"/>
            <color indexed="81"/>
            <rFont val="Tahoma"/>
            <family val="2"/>
          </rPr>
          <t>$500 PESOS</t>
        </r>
        <r>
          <rPr>
            <sz val="9"/>
            <color indexed="81"/>
            <rFont val="Tahoma"/>
            <family val="2"/>
          </rPr>
          <t xml:space="preserve"> PARA TRANSPORTE.</t>
        </r>
      </text>
    </comment>
    <comment ref="AF3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FAVOR INGRESAR EL COMENTARIO EN MAYUSCULAS.</t>
        </r>
      </text>
    </comment>
    <comment ref="AG3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SI APLICA FACTURACION AL CLIENTE</t>
        </r>
      </text>
    </comment>
    <comment ref="AH3" authorId="0" shapeId="0" xr:uid="{00000000-0006-0000-0100-00000B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NOTA DE LA FACTURA</t>
        </r>
      </text>
    </comment>
    <comment ref="AI3" authorId="0" shapeId="0" xr:uid="{00000000-0006-0000-0100-00000C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NOMBRE DEL CONTACTO CLIENTE</t>
        </r>
      </text>
    </comment>
    <comment ref="AJ3" authorId="0" shapeId="0" xr:uid="{00000000-0006-0000-0100-00000D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CARGO DEL CLIENTE SOLICITANTE</t>
        </r>
      </text>
    </comment>
    <comment ref="AK3" authorId="0" shapeId="0" xr:uid="{00000000-0006-0000-0100-00000E000000}">
      <text>
        <r>
          <rPr>
            <b/>
            <sz val="9"/>
            <color indexed="81"/>
            <rFont val="Tahoma"/>
            <charset val="1"/>
          </rPr>
          <t>Alejandro Alfonseca - Operaciones:</t>
        </r>
        <r>
          <rPr>
            <sz val="9"/>
            <color indexed="81"/>
            <rFont val="Tahoma"/>
            <charset val="1"/>
          </rPr>
          <t xml:space="preserve">
TELEFONO DEL CLIENTE SOLICITANTE.
INGRESAR NUMERO SIN GUIONES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aalfonseca\Desktop\DIAGRAMA DE FLUJO DE NOVEDADES\PROYECTO CLARI\BACKUP.iqy" keepAlive="1" name="BACKUP" type="5" refreshedVersion="7" minRefreshableVersion="3" saveData="1">
    <dbPr connection="Provider=Microsoft.Office.List.OLEDB.2.0;Data Source=&quot;&quot;;ApplicationName=Excel;Version=12.0.0.0" command="&lt;LIST&gt;&lt;VIEWGUID&gt;3B792A72-8ED5-40A2-83A1-1D3BDCA42CE7&lt;/VIEWGUID&gt;&lt;LISTNAME&gt;{445FB59D-8B1A-45B7-A2A1-7FD16877320F}&lt;/LISTNAME&gt;&lt;LISTWEB&gt;https://sersalud.sharepoint.com/sites/admdm/PowerApps/_vti_bin&lt;/LISTWEB&gt;&lt;LISTSUBWEB&gt;&lt;/LISTSUBWEB&gt;&lt;ROOTFOLDER&gt;&lt;/ROOTFOLDER&gt;&lt;/LIST&gt;" commandType="5"/>
  </connection>
  <connection id="2" xr16:uid="{00000000-0015-0000-FFFF-FFFF01000000}" keepAlive="1" name="Consulta - Tabla_BACKUP" description="Conexión a la consulta 'Tabla_BACKUP' en el libro." type="5" refreshedVersion="7" background="1" saveData="1">
    <dbPr connection="Provider=Microsoft.Mashup.OleDb.1;Data Source=$Workbook$;Location=Tabla_BACKUP;Extended Properties=&quot;&quot;" command="SELECT * FROM [Tabla_BACKUP]"/>
  </connection>
  <connection id="3" xr16:uid="{00000000-0015-0000-FFFF-FFFF02000000}" keepAlive="1" name="Consulta - Tabla_CONSULTA_GENERAL" description="Conexión a la consulta 'Tabla_CONSULTA_GENERAL' en el libro." type="5" refreshedVersion="7" background="1" saveData="1">
    <dbPr connection="Provider=Microsoft.Mashup.OleDb.1;Data Source=$Workbook$;Location=Tabla_CONSULTA_GENERAL;Extended Properties=&quot;&quot;" command="SELECT * FROM [Tabla_CONSULTA_GENERAL]"/>
  </connection>
  <connection id="4" xr16:uid="{00000000-0015-0000-FFFF-FFFF03000000}" keepAlive="1" name="Consulta - Tabla_FIJOS" description="Conexión a la consulta 'Tabla_FIJOS' en el libro." type="5" refreshedVersion="7" background="1" saveData="1">
    <dbPr connection="Provider=Microsoft.Mashup.OleDb.1;Data Source=$Workbook$;Location=Tabla_FIJOS;Extended Properties=&quot;&quot;" command="SELECT * FROM [Tabla_FIJOS]"/>
  </connection>
  <connection id="5" xr16:uid="{00000000-0015-0000-FFFF-FFFF04000000}" keepAlive="1" name="Consulta - Tabla_LOCALIDADES_1" description="Conexión a la consulta 'Tabla_LOCALIDADES_1' en el libro." type="5" refreshedVersion="7" background="1" saveData="1">
    <dbPr connection="Provider=Microsoft.Mashup.OleDb.1;Data Source=$Workbook$;Location=Tabla_LOCALIDADES_1;Extended Properties=&quot;&quot;" command="SELECT * FROM [Tabla_LOCALIDADES_1]"/>
  </connection>
  <connection id="6" xr16:uid="{00000000-0015-0000-FFFF-FFFF05000000}" odcFile="C:\Users\aalfonseca\Desktop\DIAGRAMA DE FLUJO DE NOVEDADES\PROYECTO CLARI\FIJOS.iqy" keepAlive="1" name="FIJOS" type="5" refreshedVersion="7" minRefreshableVersion="3" saveData="1">
    <dbPr connection="Provider=Microsoft.Office.List.OLEDB.2.0;Data Source=&quot;&quot;;ApplicationName=Excel;Version=12.0.0.0" command="&lt;LIST&gt;&lt;VIEWGUID&gt;9FBB08B8-421E-4060-A1A4-110AC17D6D5F&lt;/VIEWGUID&gt;&lt;LISTNAME&gt;{81773D42-E0B6-4235-887C-5C7FE2D3EF1B}&lt;/LISTNAME&gt;&lt;LISTWEB&gt;https://sersalud.sharepoint.com/sites/admdm/PowerApps/_vti_bin&lt;/LISTWEB&gt;&lt;LISTSUBWEB&gt;&lt;/LISTSUBWEB&gt;&lt;ROOTFOLDER&gt;&lt;/ROOTFOLDER&gt;&lt;/LIST&gt;" commandType="5"/>
  </connection>
  <connection id="7" xr16:uid="{00000000-0015-0000-FFFF-FFFF06000000}" odcFile="C:\Users\aalfonseca\Desktop\DIAGRAMA DE FLUJO DE NOVEDADES\PROYECTO CLARI\LOCALIDADES.iqy" keepAlive="1" name="LOCALIDADES" type="5" refreshedVersion="7" minRefreshableVersion="3" saveData="1">
    <dbPr connection="Provider=Microsoft.Office.List.OLEDB.2.0;Data Source=&quot;&quot;;ApplicationName=Excel;Version=12.0.0.0" command="&lt;LIST&gt;&lt;VIEWGUID&gt;28B84241-330D-4500-B80A-0FD3EFB6424D&lt;/VIEWGUID&gt;&lt;LISTNAME&gt;{11ED74C6-A96E-43B1-A68F-771F593141F6}&lt;/LISTNAME&gt;&lt;LISTWEB&gt;https://sersalud.sharepoint.com/sites/admdm/PowerApps/_vti_bin&lt;/LISTWEB&gt;&lt;LISTSUBWEB&gt;&lt;/LISTSUBWEB&gt;&lt;ROOTFOLDER&gt;&lt;/ROOTFOLDER&gt;&lt;/LIST&gt;" commandType="5"/>
  </connection>
</connections>
</file>

<file path=xl/sharedStrings.xml><?xml version="1.0" encoding="utf-8"?>
<sst xmlns="http://schemas.openxmlformats.org/spreadsheetml/2006/main" count="11006" uniqueCount="2641">
  <si>
    <t>SUPERVISOR ENCARGADO</t>
  </si>
  <si>
    <t>NOMBRE DEL PERSONAL QUE CUBRE</t>
  </si>
  <si>
    <t>TELEFONO</t>
  </si>
  <si>
    <t>BANCO</t>
  </si>
  <si>
    <t>TIPO DE CUENTA</t>
  </si>
  <si>
    <t>NUMERO DE CUENTA</t>
  </si>
  <si>
    <t>LOCALIDAD</t>
  </si>
  <si>
    <t>NOMBRE DEL PERSONAL CUBIERTO</t>
  </si>
  <si>
    <t>CONCEPTO</t>
  </si>
  <si>
    <t>H. ENTRADA</t>
  </si>
  <si>
    <t>H. SALIDA</t>
  </si>
  <si>
    <t>DIAS DE COBERTURA</t>
  </si>
  <si>
    <t>CANTIDAD DE SERVICIOS A CUBRIR</t>
  </si>
  <si>
    <t>HORAS CUBIERTAS</t>
  </si>
  <si>
    <t>DATOS DEL BACKUP</t>
  </si>
  <si>
    <t>TIPO DE PERSONAL</t>
  </si>
  <si>
    <t xml:space="preserve">COSTO TARIFARIO </t>
  </si>
  <si>
    <t>OTROS PAGOS</t>
  </si>
  <si>
    <t>SUBTOTAL SERVICIO</t>
  </si>
  <si>
    <t>COSTO CON (0.90)</t>
  </si>
  <si>
    <t>COSTO DEL (0.10)</t>
  </si>
  <si>
    <t>MONTO A PAGAR</t>
  </si>
  <si>
    <t>COMENTARIOS ADICIONALES</t>
  </si>
  <si>
    <t>FACTURACION</t>
  </si>
  <si>
    <t>NOTA DE FACTURACION</t>
  </si>
  <si>
    <t>NOMBRE DEL SOLICITANTE</t>
  </si>
  <si>
    <t>CARGO DEL SOLICITANTE</t>
  </si>
  <si>
    <t>TELEFONO DEL SOLICITANTE</t>
  </si>
  <si>
    <t>DINERO</t>
  </si>
  <si>
    <t>SUPERVISOR</t>
  </si>
  <si>
    <t>LOCALIDADES</t>
  </si>
  <si>
    <t>9</t>
  </si>
  <si>
    <t>CND - CDD - STGO</t>
  </si>
  <si>
    <t>CND - CDD - SPM</t>
  </si>
  <si>
    <t>CND - CDD - SJM</t>
  </si>
  <si>
    <t>CND - CDD - SFM</t>
  </si>
  <si>
    <t>7</t>
  </si>
  <si>
    <t>AES - ITABO</t>
  </si>
  <si>
    <t>AES - DPP</t>
  </si>
  <si>
    <t>2</t>
  </si>
  <si>
    <t>AFP CRECER - CHURCHILL</t>
  </si>
  <si>
    <t>CEPM - BAVARO - PLANTA GENERADORA</t>
  </si>
  <si>
    <t>COUNTRY CLUB - CAFE DE HERRERA</t>
  </si>
  <si>
    <t>11</t>
  </si>
  <si>
    <t>1</t>
  </si>
  <si>
    <t>HANES BRAND - PLANTA LAS AMERICAS</t>
  </si>
  <si>
    <t>GRUPO FAMILIA - PLANTA SAN CRISTOBAL</t>
  </si>
  <si>
    <t>GM - PLANTA ZILI</t>
  </si>
  <si>
    <t>GM - PLANTA PID</t>
  </si>
  <si>
    <t>GM - PLANTA MALECÓN</t>
  </si>
  <si>
    <t>GILDAN SPM - PLANTA 2</t>
  </si>
  <si>
    <t>GILDAN SPM - PLANTA 1</t>
  </si>
  <si>
    <t>GILDAN LAS AMÉRICAS 1 - PLANTA 2</t>
  </si>
  <si>
    <t>GILDAN LAS AMÉRICAS 1 - PLANTA 1</t>
  </si>
  <si>
    <t>FENIX MANUFACTURING - SPM 2</t>
  </si>
  <si>
    <t>ARGOS - PLANTA CONCRETOS LAS AMÉRICAS</t>
  </si>
  <si>
    <t>FENIX MANUFACTURING - SPM 1</t>
  </si>
  <si>
    <t>EGH - PLANTA SULTANA DEL ESTE</t>
  </si>
  <si>
    <t>EGH - PLANTA QUISQUEYA</t>
  </si>
  <si>
    <t>EGH - PLANTA BARAHONA CARBÓN</t>
  </si>
  <si>
    <t>EATON - PLANTA 2 - PIISA</t>
  </si>
  <si>
    <t>EATON - PLANTA 1 - PIISA</t>
  </si>
  <si>
    <t>CND - PLANTA INDEPENDENCIA</t>
  </si>
  <si>
    <t>CND - PLANTA HATO NUEVO</t>
  </si>
  <si>
    <t>ARGOS - PLANTA CONCRETOS JACOBO MAJLUTA</t>
  </si>
  <si>
    <t>CND - CDD - PUERTO PLATA</t>
  </si>
  <si>
    <t>CND - CDD - MARGEN ORIENTAL</t>
  </si>
  <si>
    <t>CND - CDD - MAO</t>
  </si>
  <si>
    <t>CND - CDD - BOHEMIA</t>
  </si>
  <si>
    <t>CND - CDD - BÁVARO</t>
  </si>
  <si>
    <t>CND - CDD - AZUA</t>
  </si>
  <si>
    <t>CAC BARAHONA</t>
  </si>
  <si>
    <t>ARGOS - PLANTA CEMENTO SAN CRISTÓBAL</t>
  </si>
  <si>
    <t>ALTICE - TORRE NÚÑEZ</t>
  </si>
  <si>
    <t>ALTICE - TORRE HERRERA</t>
  </si>
  <si>
    <t>TONKA ZONA FRANCA SAN ISIDRO</t>
  </si>
  <si>
    <t>SMURFIT KAPPA - VILLAS AGRICOLAS</t>
  </si>
  <si>
    <t>SIGMA ALIMENTOS - SANTO DOMINGO</t>
  </si>
  <si>
    <t>SIGMA ALIMENTOS - SANTIAGO</t>
  </si>
  <si>
    <t>SER SALUD - SS_SPM</t>
  </si>
  <si>
    <t>SER SALUD - SS_PA</t>
  </si>
  <si>
    <t>SCOTIABANK - WISTON CHURCHILL</t>
  </si>
  <si>
    <t>SCOTIABANK - KENNEDY</t>
  </si>
  <si>
    <t>PEPSICO - SANTIAGO</t>
  </si>
  <si>
    <t>PEPSICO - SAN ISIDRO</t>
  </si>
  <si>
    <t>PEPSICO - LAS CAOBAS</t>
  </si>
  <si>
    <t>AIR LIQUIDE - HAINA</t>
  </si>
  <si>
    <t>OPITEL - MELLA</t>
  </si>
  <si>
    <t>OPITEL - HERRERA</t>
  </si>
  <si>
    <t>OPITEL - HAINAMOSA</t>
  </si>
  <si>
    <t>OPITEL - 27 DE FEBRERO</t>
  </si>
  <si>
    <t>MERCASID - PLANTA MÁXIMO GÓMEZ</t>
  </si>
  <si>
    <t>IMPORTADORA LA PLAZA - SANTIAGO</t>
  </si>
  <si>
    <t>HOTEL NOW ONYX - UVERO ALTO</t>
  </si>
  <si>
    <t>GILDAN GUERRA - PLANTA DORTEX</t>
  </si>
  <si>
    <t>FABRICA COLCHONERÍA LA NACIONAL</t>
  </si>
  <si>
    <t>EDEESTE - LA ROMANA - LOS MULTI</t>
  </si>
  <si>
    <t>ECOLAB - PLANTA LAS AMERICAS</t>
  </si>
  <si>
    <t>DP WORLD CAUCEDO</t>
  </si>
  <si>
    <t>DC - PLANTA COASIS - HAINA</t>
  </si>
  <si>
    <t>CONDUENT - ZONA FRANCA SAN ISIDRO</t>
  </si>
  <si>
    <t>COLGATE - PLANTA MARAÑÓN</t>
  </si>
  <si>
    <t>CARDINAL - LAS AMERICAS</t>
  </si>
  <si>
    <t>CAEI - INGENIO LA FINCA</t>
  </si>
  <si>
    <t>CAEI - INGENIO CRISTÓBAL COLON</t>
  </si>
  <si>
    <t>CAEI - INGENIO CAYACOA</t>
  </si>
  <si>
    <t>CAEI - INGENIO ANGELINA</t>
  </si>
  <si>
    <t>AES - ANDRES</t>
  </si>
  <si>
    <t>AVON - PLANTA HAINA</t>
  </si>
  <si>
    <t>ARS HUMANO - ZONA NORTE - SANTIAGO</t>
  </si>
  <si>
    <t>SCOTIABANK - SAN MARTIN</t>
  </si>
  <si>
    <t>FENWAL INTERNACIONAL - PIISA</t>
  </si>
  <si>
    <t>ALNAP - LA ESPERILLA</t>
  </si>
  <si>
    <t>SER SALUD - PARAISO - CAPACITACION 1</t>
  </si>
  <si>
    <t>SIGMA ALIMENTOS - LA ROMANA</t>
  </si>
  <si>
    <t>ROCKWELL - ZONA FRANCA LAS AMERICAS</t>
  </si>
  <si>
    <t>ARS HUMANO - LOPE DE VEGA</t>
  </si>
  <si>
    <t>TERPEL - AILA</t>
  </si>
  <si>
    <t>SCOTIABANK - GBS LAS AMERICAS</t>
  </si>
  <si>
    <t>PRODURADURIA - LA FERIA</t>
  </si>
  <si>
    <t>PINTURAS POPULAR - PLANTA HERRERA</t>
  </si>
  <si>
    <t>PEPSICO - FRITOLAY PID</t>
  </si>
  <si>
    <t>M&amp;T - ZONA FRANCA LA VEGA</t>
  </si>
  <si>
    <t>HOTEL MAJESTIC - BÁVARO</t>
  </si>
  <si>
    <t>HOTEL EMBAJADOR</t>
  </si>
  <si>
    <t>TERPEL - PUERTO PLATA</t>
  </si>
  <si>
    <t xml:space="preserve">SCOTIABANK - SAN MARTIN </t>
  </si>
  <si>
    <t>EDEESTE - LA ROMANA - SAVICA</t>
  </si>
  <si>
    <t>GILDAN LAS AMÉRICAS 2 - PLANTA 2</t>
  </si>
  <si>
    <t>GILDAN LAS AMÉRICAS 2 - PLANTA 1</t>
  </si>
  <si>
    <t xml:space="preserve">LETICIA BONILLA </t>
  </si>
  <si>
    <t>IBIS GONZALES</t>
  </si>
  <si>
    <t>FANNY GUILAMO</t>
  </si>
  <si>
    <t>YUDITH RODRIGUEZ</t>
  </si>
  <si>
    <t>BEATRIZ DAVILA</t>
  </si>
  <si>
    <t>JOSELYN DIAZ</t>
  </si>
  <si>
    <t>MARIA CORONA</t>
  </si>
  <si>
    <t>REINA MARTINEZ</t>
  </si>
  <si>
    <t>CEDULA</t>
  </si>
  <si>
    <t>NOMBRES</t>
  </si>
  <si>
    <t>APELLIDOS</t>
  </si>
  <si>
    <t>METODO_DE_PAGO</t>
  </si>
  <si>
    <t>TIPO_CUENTA</t>
  </si>
  <si>
    <t>NUMERO_DE_CUENTA</t>
  </si>
  <si>
    <t>EXEQUATUR</t>
  </si>
  <si>
    <t>CORREO_ELECTRONICO</t>
  </si>
  <si>
    <t>ESTADO</t>
  </si>
  <si>
    <t>FECHA_INICIO</t>
  </si>
  <si>
    <t>TIPO_PERSONAL_EXTERNO</t>
  </si>
  <si>
    <t>TIPO_SERVICIO_PERSONAL</t>
  </si>
  <si>
    <t>Modified</t>
  </si>
  <si>
    <t>Created</t>
  </si>
  <si>
    <t>Created By</t>
  </si>
  <si>
    <t>Modified By</t>
  </si>
  <si>
    <t>DIRECCION_RESIDENCIA</t>
  </si>
  <si>
    <t>Item Type</t>
  </si>
  <si>
    <t>Path</t>
  </si>
  <si>
    <t>40243450059</t>
  </si>
  <si>
    <t>MARIA</t>
  </si>
  <si>
    <t>PEREZ</t>
  </si>
  <si>
    <t>CHEQUE</t>
  </si>
  <si>
    <t>BANCO POPULAR</t>
  </si>
  <si>
    <t>CUENTA CORRIENTE DOP</t>
  </si>
  <si>
    <t>10219</t>
  </si>
  <si>
    <t>jdiaz@ser-salud.com</t>
  </si>
  <si>
    <t>CONTRATISTA FIJO</t>
  </si>
  <si>
    <t>COSMIATRA</t>
  </si>
  <si>
    <t>Joselyn Diaz - Operaciones</t>
  </si>
  <si>
    <t>Orlando Soto - Tecnologia</t>
  </si>
  <si>
    <t>MI CASA</t>
  </si>
  <si>
    <t>Elemento</t>
  </si>
  <si>
    <t>sites/admdm/PowerApps/Lists/ADMDM_Personal_Dispensarios_Externos</t>
  </si>
  <si>
    <t>40229183500</t>
  </si>
  <si>
    <t>ALBA IRIS</t>
  </si>
  <si>
    <t>FLORENTINO</t>
  </si>
  <si>
    <t>TRANSFERENCIA BANCARIA</t>
  </si>
  <si>
    <t>BANRESERVAS</t>
  </si>
  <si>
    <t>CUENTA DE AHORRO DOP</t>
  </si>
  <si>
    <t>9601833384</t>
  </si>
  <si>
    <t>183500</t>
  </si>
  <si>
    <t>PENDIENTE_DAILY_TIRADO14</t>
  </si>
  <si>
    <t>PERSONAL BACKUP</t>
  </si>
  <si>
    <t>ENFERMERA</t>
  </si>
  <si>
    <t>Daily Tirado - Operaciones</t>
  </si>
  <si>
    <t>Alejandro Alfonseca - Operaciones</t>
  </si>
  <si>
    <t>PENDIENTE POR DAILY TIRADO</t>
  </si>
  <si>
    <t>40209724141</t>
  </si>
  <si>
    <t>ALEJANDRA</t>
  </si>
  <si>
    <t>HENRIQUEZ</t>
  </si>
  <si>
    <t>0817684780</t>
  </si>
  <si>
    <t>724141</t>
  </si>
  <si>
    <t>PENDIENTE_DAILY_TIRADO13</t>
  </si>
  <si>
    <t>22500309681</t>
  </si>
  <si>
    <t>AMPARO</t>
  </si>
  <si>
    <t>LAUREANO</t>
  </si>
  <si>
    <t>9602879852</t>
  </si>
  <si>
    <t>309681</t>
  </si>
  <si>
    <t>PENDIENTE_DAILY_TIRADO7</t>
  </si>
  <si>
    <t>40200407910</t>
  </si>
  <si>
    <t>ANA MERCEDES</t>
  </si>
  <si>
    <t>CABRERA</t>
  </si>
  <si>
    <t>N/A</t>
  </si>
  <si>
    <t>NO APLICA</t>
  </si>
  <si>
    <t>407910</t>
  </si>
  <si>
    <t>ANAMERCEDES0397@GMAIL.COM</t>
  </si>
  <si>
    <t>22301548644</t>
  </si>
  <si>
    <t>ANGELA MARIA</t>
  </si>
  <si>
    <t>SANCHEZ TURBI</t>
  </si>
  <si>
    <t>3300402381</t>
  </si>
  <si>
    <t>548644</t>
  </si>
  <si>
    <t>PENDIENTE_DAILY_TIRADO23</t>
  </si>
  <si>
    <t>40225980412</t>
  </si>
  <si>
    <t>ANYELINA</t>
  </si>
  <si>
    <t>GREEN CANCU</t>
  </si>
  <si>
    <t>980412</t>
  </si>
  <si>
    <t>PENDIENTE_DAILY_TIRADO30</t>
  </si>
  <si>
    <t>02301164352</t>
  </si>
  <si>
    <t>BARTOLINA</t>
  </si>
  <si>
    <t>HERNANDEZ</t>
  </si>
  <si>
    <t>NO PALICA</t>
  </si>
  <si>
    <t>164352</t>
  </si>
  <si>
    <t>PENDIENTE_DAILY_TIRADO15</t>
  </si>
  <si>
    <t>40219518855</t>
  </si>
  <si>
    <t>BELGICA</t>
  </si>
  <si>
    <t>AMADOR</t>
  </si>
  <si>
    <t>9602068367</t>
  </si>
  <si>
    <t>518855</t>
  </si>
  <si>
    <t>PENDIENTE_DAILY_TIRADO17</t>
  </si>
  <si>
    <t>40222505501</t>
  </si>
  <si>
    <t>DAMARIS</t>
  </si>
  <si>
    <t>REYES ALMONTE</t>
  </si>
  <si>
    <t>9603153888</t>
  </si>
  <si>
    <t>505501</t>
  </si>
  <si>
    <t>PENDIENTE_DAILY_TIRADO29</t>
  </si>
  <si>
    <t>22301451880</t>
  </si>
  <si>
    <t>DANIUSKA</t>
  </si>
  <si>
    <t>DURAN</t>
  </si>
  <si>
    <t>9602010190</t>
  </si>
  <si>
    <t>451880</t>
  </si>
  <si>
    <t>PENDIENTE_DAILY_TIRADO31</t>
  </si>
  <si>
    <t>40221255736</t>
  </si>
  <si>
    <t>DARIANA</t>
  </si>
  <si>
    <t>JIMENEZ PINALES</t>
  </si>
  <si>
    <t>ASOCIACION POPULAR DE AHORROS Y PRESTAMOS</t>
  </si>
  <si>
    <t>1022479695</t>
  </si>
  <si>
    <t>255736</t>
  </si>
  <si>
    <t>PENDIENTE_DAILY_TIRADO28</t>
  </si>
  <si>
    <t>40215219961</t>
  </si>
  <si>
    <t>DULCE MARIA</t>
  </si>
  <si>
    <t>VALDEZ FLORENTINO</t>
  </si>
  <si>
    <t>219961</t>
  </si>
  <si>
    <t>PENDIENTE_DAILY_TIRADO10</t>
  </si>
  <si>
    <t>40210384141</t>
  </si>
  <si>
    <t>FEDRINA</t>
  </si>
  <si>
    <t>CORDERO</t>
  </si>
  <si>
    <t>9603354761</t>
  </si>
  <si>
    <t>384141</t>
  </si>
  <si>
    <t>PENDIENTE_DAILY_TIRADO6</t>
  </si>
  <si>
    <t>00106551526</t>
  </si>
  <si>
    <t>GAVINA</t>
  </si>
  <si>
    <t>VENTURA</t>
  </si>
  <si>
    <t>230976118</t>
  </si>
  <si>
    <t>551526</t>
  </si>
  <si>
    <t>PENDIENTE_DAILY_TIRADO34</t>
  </si>
  <si>
    <t>06800493816</t>
  </si>
  <si>
    <t>GLENNY MARIA</t>
  </si>
  <si>
    <t>MEZON ROMERO</t>
  </si>
  <si>
    <t>493816</t>
  </si>
  <si>
    <t>PENDIENTE_DAILY_TIRADO2</t>
  </si>
  <si>
    <t>40200430821</t>
  </si>
  <si>
    <t>HEVERLINA</t>
  </si>
  <si>
    <t>430821</t>
  </si>
  <si>
    <t>PENDIENTE_DAILY_TIRADO22</t>
  </si>
  <si>
    <t>03104223833</t>
  </si>
  <si>
    <t>JANCY ANTONIO</t>
  </si>
  <si>
    <t>PORTORREAL</t>
  </si>
  <si>
    <t>9602957482</t>
  </si>
  <si>
    <t>223833</t>
  </si>
  <si>
    <t>PENDIENTE_DAILY_TIRADO12</t>
  </si>
  <si>
    <t>22301361246</t>
  </si>
  <si>
    <t>JUANA</t>
  </si>
  <si>
    <t>MORENO</t>
  </si>
  <si>
    <t>BANCO BHDLEON</t>
  </si>
  <si>
    <t>27039220011</t>
  </si>
  <si>
    <t>361246</t>
  </si>
  <si>
    <t>PENDIENTE_DAILY_TIRADO1</t>
  </si>
  <si>
    <t>22300975145</t>
  </si>
  <si>
    <t>KILSY MARLEN</t>
  </si>
  <si>
    <t>DE JESUS ENCARNACION</t>
  </si>
  <si>
    <t>975145</t>
  </si>
  <si>
    <t>PENDIENTE_DAILY_TIRADO19</t>
  </si>
  <si>
    <t>40231439676</t>
  </si>
  <si>
    <t>LARAMY</t>
  </si>
  <si>
    <t>BAILON</t>
  </si>
  <si>
    <t>439676</t>
  </si>
  <si>
    <t>PENDIENTE_DAILY_TIRADO33</t>
  </si>
  <si>
    <t>40208707154</t>
  </si>
  <si>
    <t>LILIANA</t>
  </si>
  <si>
    <t>ENCARNACION REYES</t>
  </si>
  <si>
    <t>9603890606</t>
  </si>
  <si>
    <t>707154</t>
  </si>
  <si>
    <t>PENDIENTE_DAILY_TIRADO3</t>
  </si>
  <si>
    <t>40221916121</t>
  </si>
  <si>
    <t>LUNIELIS</t>
  </si>
  <si>
    <t>12399950018</t>
  </si>
  <si>
    <t>916121</t>
  </si>
  <si>
    <t>PENDIENTE_DAILY_TIRADO21</t>
  </si>
  <si>
    <t>02400017741</t>
  </si>
  <si>
    <t>LUZ ENEIDA</t>
  </si>
  <si>
    <t>SIMEDES</t>
  </si>
  <si>
    <t>1101768228</t>
  </si>
  <si>
    <t>017741</t>
  </si>
  <si>
    <t>LUCYSIMEDES@HOTMAIL.COM</t>
  </si>
  <si>
    <t>40224041307</t>
  </si>
  <si>
    <t>LUZ MARIA</t>
  </si>
  <si>
    <t>RAMIREZ CABRERA</t>
  </si>
  <si>
    <t>29397110017</t>
  </si>
  <si>
    <t>041307</t>
  </si>
  <si>
    <t>PENDIENTE_DAILY_TIRADO18</t>
  </si>
  <si>
    <t>40241319215</t>
  </si>
  <si>
    <t>MARIANELIS</t>
  </si>
  <si>
    <t>AQUINO</t>
  </si>
  <si>
    <t>319215</t>
  </si>
  <si>
    <t>PENDIENTE_DAILY_TIRADO27</t>
  </si>
  <si>
    <t>09300711711</t>
  </si>
  <si>
    <t>MORENA</t>
  </si>
  <si>
    <t>MONTERO LEBRON</t>
  </si>
  <si>
    <t>30381620018</t>
  </si>
  <si>
    <t>711711</t>
  </si>
  <si>
    <t>MORENAMONTERO093@GMAIL.COM</t>
  </si>
  <si>
    <t>03105628071</t>
  </si>
  <si>
    <t>NOEMI</t>
  </si>
  <si>
    <t>TORIBIO CEBALLO</t>
  </si>
  <si>
    <t>628071</t>
  </si>
  <si>
    <t>NOEMITORIBIO01@GMAIL.COM</t>
  </si>
  <si>
    <t>11800088194</t>
  </si>
  <si>
    <t>PETRONILA</t>
  </si>
  <si>
    <t>NIVAR GUZMAN</t>
  </si>
  <si>
    <t>088194</t>
  </si>
  <si>
    <t>PENDIENTE_DAILY_TIRADO4</t>
  </si>
  <si>
    <t>40209360219</t>
  </si>
  <si>
    <t>RENNI EXTHEL</t>
  </si>
  <si>
    <t>RIVERA ALCANTARA</t>
  </si>
  <si>
    <t>360219</t>
  </si>
  <si>
    <t>PENDIENTE_DAILY_TIRADO5</t>
  </si>
  <si>
    <t>40220535336</t>
  </si>
  <si>
    <t>RUDELANIA</t>
  </si>
  <si>
    <t>MERCEDES</t>
  </si>
  <si>
    <t>760030684</t>
  </si>
  <si>
    <t>535336</t>
  </si>
  <si>
    <t>PENDIENTE_DAILY_TIRADO16</t>
  </si>
  <si>
    <t>02301317851</t>
  </si>
  <si>
    <t>SANTA</t>
  </si>
  <si>
    <t>MEJIA</t>
  </si>
  <si>
    <t>9601280820</t>
  </si>
  <si>
    <t>317851</t>
  </si>
  <si>
    <t>SANTA022516@GMAIL.COM</t>
  </si>
  <si>
    <t>00117224428</t>
  </si>
  <si>
    <t>VALERIA</t>
  </si>
  <si>
    <t>GARCIA</t>
  </si>
  <si>
    <t>9601425519</t>
  </si>
  <si>
    <t>224428</t>
  </si>
  <si>
    <t>VALRIAGOMEZ@GMAIL.COM</t>
  </si>
  <si>
    <t>40222880482</t>
  </si>
  <si>
    <t>WALDY</t>
  </si>
  <si>
    <t>ENCARNACION</t>
  </si>
  <si>
    <t>9600488290</t>
  </si>
  <si>
    <t>880482</t>
  </si>
  <si>
    <t>PENDIENTE_DAILY_TIRADO11</t>
  </si>
  <si>
    <t>40200171938</t>
  </si>
  <si>
    <t>YESSICA LUCIA</t>
  </si>
  <si>
    <t>PERALTA INFANTE</t>
  </si>
  <si>
    <t>171938</t>
  </si>
  <si>
    <t>JESSICAPERALTA2827@GMAIL.COM</t>
  </si>
  <si>
    <t>40208754800</t>
  </si>
  <si>
    <t>YONAIRI</t>
  </si>
  <si>
    <t>FRIAS</t>
  </si>
  <si>
    <t>9603032914</t>
  </si>
  <si>
    <t>754800</t>
  </si>
  <si>
    <t>PENDIENTE_DAILY_TIRADO25</t>
  </si>
  <si>
    <t>13800060991</t>
  </si>
  <si>
    <t>LUZ NAICA</t>
  </si>
  <si>
    <t>PACHECO</t>
  </si>
  <si>
    <t>1101525924</t>
  </si>
  <si>
    <t>060991</t>
  </si>
  <si>
    <t>DRA.LUZN@GMAIL.COM</t>
  </si>
  <si>
    <t>MEDICO FAMILIAR</t>
  </si>
  <si>
    <t>40220789685</t>
  </si>
  <si>
    <t>ANA</t>
  </si>
  <si>
    <t>LEBRON</t>
  </si>
  <si>
    <t>12814590022</t>
  </si>
  <si>
    <t>789685</t>
  </si>
  <si>
    <t>PENDIENTE_DAILY_TIRADO62</t>
  </si>
  <si>
    <t>MEDICO GENERAL</t>
  </si>
  <si>
    <t>05601048118</t>
  </si>
  <si>
    <t>ANGEL</t>
  </si>
  <si>
    <t>HERNANDEZ GUTIERREZ</t>
  </si>
  <si>
    <t>0131488207</t>
  </si>
  <si>
    <t>048118</t>
  </si>
  <si>
    <t>PENDIENTE_DAILY_TIRADO55</t>
  </si>
  <si>
    <t>00119226579</t>
  </si>
  <si>
    <t>ANGELA</t>
  </si>
  <si>
    <t>OVIEDO</t>
  </si>
  <si>
    <t>9601764896</t>
  </si>
  <si>
    <t>226579</t>
  </si>
  <si>
    <t>PENDIENTE_DAILY_TIRADO43</t>
  </si>
  <si>
    <t>02801033313</t>
  </si>
  <si>
    <t>BIELKA</t>
  </si>
  <si>
    <t>NUNEZ</t>
  </si>
  <si>
    <t>1101721809</t>
  </si>
  <si>
    <t>033313</t>
  </si>
  <si>
    <t>BIELKAGONZA@GMAIL.COM</t>
  </si>
  <si>
    <t>00115839326</t>
  </si>
  <si>
    <t>CARMEN</t>
  </si>
  <si>
    <t>ROSARIO</t>
  </si>
  <si>
    <t>839326</t>
  </si>
  <si>
    <t>PENDIENTE_DAILY_TIRADO57</t>
  </si>
  <si>
    <t>22301430850</t>
  </si>
  <si>
    <t>CARMEN ISABEL</t>
  </si>
  <si>
    <t>9601328667</t>
  </si>
  <si>
    <t>430850</t>
  </si>
  <si>
    <t>ISABELHERRA22@GMAIL.COM</t>
  </si>
  <si>
    <t>22500132760</t>
  </si>
  <si>
    <t>DAHIANA MERCEDES</t>
  </si>
  <si>
    <t>HERNANDEZ RODRIGUEZ</t>
  </si>
  <si>
    <t>77875854</t>
  </si>
  <si>
    <t>132760</t>
  </si>
  <si>
    <t>PENDIENTE_DAILY_TIRADO46</t>
  </si>
  <si>
    <t>40220484022</t>
  </si>
  <si>
    <t>DAMEL</t>
  </si>
  <si>
    <t>CEDENO</t>
  </si>
  <si>
    <t>25301480018</t>
  </si>
  <si>
    <t>484022</t>
  </si>
  <si>
    <t>DAMELELIZABETH@HOTMAIL.COM</t>
  </si>
  <si>
    <t>22400471169</t>
  </si>
  <si>
    <t>DILENIA</t>
  </si>
  <si>
    <t>RIVERA</t>
  </si>
  <si>
    <t>26320010011</t>
  </si>
  <si>
    <t>471169</t>
  </si>
  <si>
    <t>PENDIENTE_DAILY_TIRADO51</t>
  </si>
  <si>
    <t>40220521617</t>
  </si>
  <si>
    <t>ELIOT</t>
  </si>
  <si>
    <t>SILVA PENA</t>
  </si>
  <si>
    <t>12860030015</t>
  </si>
  <si>
    <t>521617</t>
  </si>
  <si>
    <t>NICARLIS123@GMAIL.COM</t>
  </si>
  <si>
    <t>00111235685</t>
  </si>
  <si>
    <t>ENMANUEL</t>
  </si>
  <si>
    <t>PEGUERO</t>
  </si>
  <si>
    <t>01434070046</t>
  </si>
  <si>
    <t>235685</t>
  </si>
  <si>
    <t>ENMANUEL.PEGUERO@YAHOO.COM</t>
  </si>
  <si>
    <t>00118149905</t>
  </si>
  <si>
    <t>EYIS</t>
  </si>
  <si>
    <t>CUSTODIO</t>
  </si>
  <si>
    <t>0230440097</t>
  </si>
  <si>
    <t>149905</t>
  </si>
  <si>
    <t>PENDIENTE_DAILY_TIRADO38</t>
  </si>
  <si>
    <t>22301002865</t>
  </si>
  <si>
    <t>FELIX ANTONIO</t>
  </si>
  <si>
    <t>ALCANTARA ABREU</t>
  </si>
  <si>
    <t>002865</t>
  </si>
  <si>
    <t>PENDIENTE_DAILY_TIRADO48</t>
  </si>
  <si>
    <t>04900688013</t>
  </si>
  <si>
    <t>GRISELDA</t>
  </si>
  <si>
    <t>MEJIA VASQUEZ</t>
  </si>
  <si>
    <t>688013</t>
  </si>
  <si>
    <t>GRISELDAMEJIAVASQUEZ@OUTLOOK.COM</t>
  </si>
  <si>
    <t>00118806421</t>
  </si>
  <si>
    <t>JENNY</t>
  </si>
  <si>
    <t>9600997259</t>
  </si>
  <si>
    <t>806421</t>
  </si>
  <si>
    <t>JENNYNUNEZ034@GMAIL.COM</t>
  </si>
  <si>
    <t>22301356873</t>
  </si>
  <si>
    <t>JESSICA</t>
  </si>
  <si>
    <t>GUERRERO</t>
  </si>
  <si>
    <t>356873</t>
  </si>
  <si>
    <t>PENDIENTE_DAILY_TIRADO61</t>
  </si>
  <si>
    <t>40243450058</t>
  </si>
  <si>
    <t>JUAN</t>
  </si>
  <si>
    <t>00121840</t>
  </si>
  <si>
    <t>450058</t>
  </si>
  <si>
    <t>PENDIENTE_DAILY_TIRADO41</t>
  </si>
  <si>
    <t>40200379135</t>
  </si>
  <si>
    <t>KATHERINE</t>
  </si>
  <si>
    <t>CONCEPCION</t>
  </si>
  <si>
    <t>379135</t>
  </si>
  <si>
    <t>PENDIENTE_DAILY_TIRADO60</t>
  </si>
  <si>
    <t>22500658939</t>
  </si>
  <si>
    <t>LAURA</t>
  </si>
  <si>
    <t>ACOSTA</t>
  </si>
  <si>
    <t>29514470011</t>
  </si>
  <si>
    <t>658939</t>
  </si>
  <si>
    <t>LAURAACOSTA25@HOTMAIL.COM</t>
  </si>
  <si>
    <t>22301195503</t>
  </si>
  <si>
    <t>MARTE</t>
  </si>
  <si>
    <t>29415480013</t>
  </si>
  <si>
    <t>195503</t>
  </si>
  <si>
    <t>LEMAYDJH@GMAIL.COM</t>
  </si>
  <si>
    <t>22400557991</t>
  </si>
  <si>
    <t>LAURA PATRICIA</t>
  </si>
  <si>
    <t>CORDERO VALERIO</t>
  </si>
  <si>
    <t>9601269810</t>
  </si>
  <si>
    <t>557991</t>
  </si>
  <si>
    <t>PENDIENTE_DAILY_TIRADO42</t>
  </si>
  <si>
    <t>00117181206</t>
  </si>
  <si>
    <t>LETICIA</t>
  </si>
  <si>
    <t>BONILLA AREU</t>
  </si>
  <si>
    <t>123456789011</t>
  </si>
  <si>
    <t>181206</t>
  </si>
  <si>
    <t>LBONILLA@SERSALUD.COM</t>
  </si>
  <si>
    <t>22700005808</t>
  </si>
  <si>
    <t>LILLIANA</t>
  </si>
  <si>
    <t>GUZMAN</t>
  </si>
  <si>
    <t>1640263504</t>
  </si>
  <si>
    <t>005808</t>
  </si>
  <si>
    <t>PENDIENTE_DAILY_TIRADO39</t>
  </si>
  <si>
    <t>00118362029</t>
  </si>
  <si>
    <t>MILAGROS</t>
  </si>
  <si>
    <t>798475836</t>
  </si>
  <si>
    <t>362029</t>
  </si>
  <si>
    <t>MGISSELLEMS@HOTMAIL.COM</t>
  </si>
  <si>
    <t>05800268079</t>
  </si>
  <si>
    <t>WASKAR</t>
  </si>
  <si>
    <t>SERRANO REYES</t>
  </si>
  <si>
    <t>736755893</t>
  </si>
  <si>
    <t>268079</t>
  </si>
  <si>
    <t>PENDIENTE_DAILY_TIRADO63</t>
  </si>
  <si>
    <t>22301116665</t>
  </si>
  <si>
    <t>YENNIFER</t>
  </si>
  <si>
    <t>FORTUNA BENITEZ</t>
  </si>
  <si>
    <t>9600918981</t>
  </si>
  <si>
    <t>116665</t>
  </si>
  <si>
    <t>YENNIFERFORTUNA@HOTMAIL.COM</t>
  </si>
  <si>
    <t>40220467167</t>
  </si>
  <si>
    <t>YULEIRI</t>
  </si>
  <si>
    <t>FIGUEREO CASTILLO</t>
  </si>
  <si>
    <t>780190005</t>
  </si>
  <si>
    <t>467167</t>
  </si>
  <si>
    <t>PENDIENTE_DAILY_TIRADO37</t>
  </si>
  <si>
    <t>00117746065</t>
  </si>
  <si>
    <t>GISSELLE</t>
  </si>
  <si>
    <t>CAPELLAN</t>
  </si>
  <si>
    <t>8200036142</t>
  </si>
  <si>
    <t>746065</t>
  </si>
  <si>
    <t>DRA.CAPELLAN0704@GMAIL.COM</t>
  </si>
  <si>
    <t>NUTRIOLOGO</t>
  </si>
  <si>
    <t>00114709389</t>
  </si>
  <si>
    <t xml:space="preserve">ENICI  RAQUEL </t>
  </si>
  <si>
    <t>AGRAMONTE DE OLEO</t>
  </si>
  <si>
    <t>30285310016</t>
  </si>
  <si>
    <t>0</t>
  </si>
  <si>
    <t>SAN LUIS SANTO DOMINGO ESTE</t>
  </si>
  <si>
    <t>02301513343</t>
  </si>
  <si>
    <t xml:space="preserve">KATLY ANYELINA </t>
  </si>
  <si>
    <t xml:space="preserve"> GUZMAN SANTANA</t>
  </si>
  <si>
    <t>9601299272</t>
  </si>
  <si>
    <t>70020</t>
  </si>
  <si>
    <t>Dalia Padilla - ADMDM</t>
  </si>
  <si>
    <t>C/ BENIGNO DEL CASTILLO NO.38, LOMA DEL COCHERO, SAN PEDRO DE MACORÍS</t>
  </si>
  <si>
    <t>13800060728</t>
  </si>
  <si>
    <t>STEPHANY CAROLINA</t>
  </si>
  <si>
    <t>SANCHEZ CEDANO</t>
  </si>
  <si>
    <t>1120331562</t>
  </si>
  <si>
    <t>228230</t>
  </si>
  <si>
    <t>C/ LA AVIACION, MUNICIPIO CONSUELO, SAN PEDRO DE MACORIS</t>
  </si>
  <si>
    <t>40240841888</t>
  </si>
  <si>
    <t xml:space="preserve">JATNERYS </t>
  </si>
  <si>
    <t xml:space="preserve">DE LOS SANTOS ROBLES </t>
  </si>
  <si>
    <t>45615</t>
  </si>
  <si>
    <t>Florange Campusano - ADMDM</t>
  </si>
  <si>
    <t>KM13</t>
  </si>
  <si>
    <t>09300576791</t>
  </si>
  <si>
    <t xml:space="preserve">Johanny </t>
  </si>
  <si>
    <t>Mójica Garcés</t>
  </si>
  <si>
    <t>0810384179</t>
  </si>
  <si>
    <t>39116</t>
  </si>
  <si>
    <t>Leticia Bonilla - ADMDM</t>
  </si>
  <si>
    <t>Haina</t>
  </si>
  <si>
    <t>22900287834</t>
  </si>
  <si>
    <t xml:space="preserve">MASSIEL ANGELINA </t>
  </si>
  <si>
    <t>DE LA ROSA</t>
  </si>
  <si>
    <t>12412</t>
  </si>
  <si>
    <t>LOS ALCARRIZOS</t>
  </si>
  <si>
    <t>40220454900</t>
  </si>
  <si>
    <t xml:space="preserve">JENNY ESTEPHANY </t>
  </si>
  <si>
    <t>BAEZ PEGUERO</t>
  </si>
  <si>
    <t>GIRO POR CAJA</t>
  </si>
  <si>
    <t>1009</t>
  </si>
  <si>
    <t>MANOGUAYABO</t>
  </si>
  <si>
    <t>02301402026</t>
  </si>
  <si>
    <t>ESMEIRA</t>
  </si>
  <si>
    <t>FELICIANO</t>
  </si>
  <si>
    <t>10019</t>
  </si>
  <si>
    <t>02301250250</t>
  </si>
  <si>
    <t>JOHANNA</t>
  </si>
  <si>
    <t>SOSA</t>
  </si>
  <si>
    <t>NI IDEA</t>
  </si>
  <si>
    <t>09300654846</t>
  </si>
  <si>
    <t>DE LOS SANTOS RODRIGUEZ</t>
  </si>
  <si>
    <t>9600144238</t>
  </si>
  <si>
    <t>BELLA VISTA HAINA SAN CRISTOBAL</t>
  </si>
  <si>
    <t>05800300468</t>
  </si>
  <si>
    <t>ANA LUISA</t>
  </si>
  <si>
    <t>ROSARIO PAREDES</t>
  </si>
  <si>
    <t>00000000000</t>
  </si>
  <si>
    <t>HAINAMOSA SANTO DOMINGO ESTE</t>
  </si>
  <si>
    <t>40231274420</t>
  </si>
  <si>
    <t xml:space="preserve">ANABEL </t>
  </si>
  <si>
    <t>CONTRERAS FELIZ</t>
  </si>
  <si>
    <t>9603155464</t>
  </si>
  <si>
    <t>PANTOJA SANTO DOMINGO OESTE</t>
  </si>
  <si>
    <t>00201192572</t>
  </si>
  <si>
    <t xml:space="preserve">MARTINA </t>
  </si>
  <si>
    <t>VICAINO PINALES</t>
  </si>
  <si>
    <t>000000000000</t>
  </si>
  <si>
    <t>SAN CRISTOBAL</t>
  </si>
  <si>
    <t>40230028876</t>
  </si>
  <si>
    <t>NICOL</t>
  </si>
  <si>
    <t>CASTILLO FELIZ</t>
  </si>
  <si>
    <t>9603064681</t>
  </si>
  <si>
    <t>40234957393</t>
  </si>
  <si>
    <t>ROSA ISABEL</t>
  </si>
  <si>
    <t>ANGELES BAEZ</t>
  </si>
  <si>
    <t>9603730444</t>
  </si>
  <si>
    <t>22900242391</t>
  </si>
  <si>
    <t>ROSANNA</t>
  </si>
  <si>
    <t>FERNANDEZ DE LA CRUZ</t>
  </si>
  <si>
    <t>29974570014</t>
  </si>
  <si>
    <t>LOS AMERICANOS, ALCARRIZOS</t>
  </si>
  <si>
    <t>22300798893</t>
  </si>
  <si>
    <t>DILIA LUCIA</t>
  </si>
  <si>
    <t>RODRIGUEZ DELANCE</t>
  </si>
  <si>
    <t>9601365149</t>
  </si>
  <si>
    <t>VILLA FARO SANTO DOMINGO ESTE</t>
  </si>
  <si>
    <t>40224226486</t>
  </si>
  <si>
    <t xml:space="preserve">ANA MARIA </t>
  </si>
  <si>
    <t>CONTRERAS JIMENEZ</t>
  </si>
  <si>
    <t>801501289</t>
  </si>
  <si>
    <t>MENDOZA SANTO DOMINGO ESTE</t>
  </si>
  <si>
    <t>22300808049</t>
  </si>
  <si>
    <t xml:space="preserve">JAVIER REYNALDO </t>
  </si>
  <si>
    <t>MORALES RODRIGUEZ</t>
  </si>
  <si>
    <t>1001189425</t>
  </si>
  <si>
    <t>42119</t>
  </si>
  <si>
    <t>VILLA AURA</t>
  </si>
  <si>
    <t>40209932728</t>
  </si>
  <si>
    <t xml:space="preserve">ELYDANIA </t>
  </si>
  <si>
    <t>VALDEZ RODRIGUEZ</t>
  </si>
  <si>
    <t>29954090016</t>
  </si>
  <si>
    <t>HAINA</t>
  </si>
  <si>
    <t>01001077245</t>
  </si>
  <si>
    <t>MARLENY</t>
  </si>
  <si>
    <t>MENDEZ GERALDO</t>
  </si>
  <si>
    <t>9601606525</t>
  </si>
  <si>
    <t>13862</t>
  </si>
  <si>
    <t>AZUA</t>
  </si>
  <si>
    <t>01201028253</t>
  </si>
  <si>
    <t>EDGAR ANTONIO</t>
  </si>
  <si>
    <t>RODRIGUEZ MERAN</t>
  </si>
  <si>
    <t>9602223694</t>
  </si>
  <si>
    <t>31917</t>
  </si>
  <si>
    <t>SAN JUAN DE LA MAGUANA</t>
  </si>
  <si>
    <t>09300431575</t>
  </si>
  <si>
    <t>MARIA NELIS</t>
  </si>
  <si>
    <t>CABRERA CONTRERAS</t>
  </si>
  <si>
    <t>00201099769</t>
  </si>
  <si>
    <t>RUTH DILANIA</t>
  </si>
  <si>
    <t>CUEVAS SANCHEZ</t>
  </si>
  <si>
    <t>40219569866</t>
  </si>
  <si>
    <t>DAWRY DE JESUS</t>
  </si>
  <si>
    <t>CONCEPCION ROSARIO</t>
  </si>
  <si>
    <t>PANTOJA</t>
  </si>
  <si>
    <t>40237962408</t>
  </si>
  <si>
    <t>DE LOS SANTOS NOVAS</t>
  </si>
  <si>
    <t>9603448585</t>
  </si>
  <si>
    <t>HERRERA</t>
  </si>
  <si>
    <t>15200005260</t>
  </si>
  <si>
    <t>FATIMA ADAIRIS</t>
  </si>
  <si>
    <t>PINALES PUJOLS</t>
  </si>
  <si>
    <t>3380029337</t>
  </si>
  <si>
    <t>00107454837</t>
  </si>
  <si>
    <t>DOLORES CAROLINA</t>
  </si>
  <si>
    <t>CORDERO ARIAS</t>
  </si>
  <si>
    <t>02301548950</t>
  </si>
  <si>
    <t xml:space="preserve">YILANDY MANUELA </t>
  </si>
  <si>
    <t>SANTANA</t>
  </si>
  <si>
    <t>40231983244</t>
  </si>
  <si>
    <t>STEPHANY</t>
  </si>
  <si>
    <t>DEL CARMEN</t>
  </si>
  <si>
    <t>40245814245</t>
  </si>
  <si>
    <t>MARVIN ALEJANDRO</t>
  </si>
  <si>
    <t>CONTRERAS URBANEJA</t>
  </si>
  <si>
    <t>813786142</t>
  </si>
  <si>
    <t>ENSANCHE KENNEDY ORTEGA Y GASSET</t>
  </si>
  <si>
    <t>ANGIE</t>
  </si>
  <si>
    <t>GRULLON</t>
  </si>
  <si>
    <t>9602281465</t>
  </si>
  <si>
    <t>SANTIAGO</t>
  </si>
  <si>
    <t>40224511028</t>
  </si>
  <si>
    <t>SORIBEL</t>
  </si>
  <si>
    <t>POLANCO</t>
  </si>
  <si>
    <t>2500797436</t>
  </si>
  <si>
    <t>402-0926252</t>
  </si>
  <si>
    <t>CAROLYN</t>
  </si>
  <si>
    <t>REINOSO</t>
  </si>
  <si>
    <t>9601695701</t>
  </si>
  <si>
    <t>2500374711</t>
  </si>
  <si>
    <t>GRISEL</t>
  </si>
  <si>
    <t xml:space="preserve">CANELA </t>
  </si>
  <si>
    <t>779178391</t>
  </si>
  <si>
    <t>SANTO DOMINGO ESTE</t>
  </si>
  <si>
    <t>00114653447</t>
  </si>
  <si>
    <t>IVELISSE</t>
  </si>
  <si>
    <t>GERMAN GARCIA</t>
  </si>
  <si>
    <t>9601582135</t>
  </si>
  <si>
    <t>Ibis Gonzalez - ADMDM</t>
  </si>
  <si>
    <t>CALLE DIEGO MORALES#19, HATO NUEVO</t>
  </si>
  <si>
    <t>40224164893</t>
  </si>
  <si>
    <t>GIORDHY JOSE</t>
  </si>
  <si>
    <t>HERRA BATISTA</t>
  </si>
  <si>
    <t>29477570019</t>
  </si>
  <si>
    <t>TORRE SHANEL, MIRADOR NORTE</t>
  </si>
  <si>
    <t>40213058213</t>
  </si>
  <si>
    <t>DIANA ALEJANDRA</t>
  </si>
  <si>
    <t>CEDANO MATEO</t>
  </si>
  <si>
    <t>816788392</t>
  </si>
  <si>
    <t>AVENIDA LOS RESTAURADORES, VILLA MELLA</t>
  </si>
  <si>
    <t>22900045463</t>
  </si>
  <si>
    <t>EVELYN MERCEDES</t>
  </si>
  <si>
    <t>UREÑA PEREYRA</t>
  </si>
  <si>
    <t>LA ESPERANZA,LOS ALCARRIZOS</t>
  </si>
  <si>
    <t>02500374711</t>
  </si>
  <si>
    <t>CANELA</t>
  </si>
  <si>
    <t>SANTO DOMINGO</t>
  </si>
  <si>
    <t>40221771831</t>
  </si>
  <si>
    <t>YISSEL</t>
  </si>
  <si>
    <t>LUNA</t>
  </si>
  <si>
    <t>9601329610</t>
  </si>
  <si>
    <t>05601461493</t>
  </si>
  <si>
    <t>LEIDY DIANA</t>
  </si>
  <si>
    <t>REYNOSO</t>
  </si>
  <si>
    <t>779280411</t>
  </si>
  <si>
    <t>SAN FRANCISCO DE MACORIS</t>
  </si>
  <si>
    <t>04702133499</t>
  </si>
  <si>
    <t>ESTEPHANI</t>
  </si>
  <si>
    <t>ROSARIO8</t>
  </si>
  <si>
    <t>9602338563</t>
  </si>
  <si>
    <t>40213018944</t>
  </si>
  <si>
    <t>MARIELYS</t>
  </si>
  <si>
    <t>PERDOMO</t>
  </si>
  <si>
    <t>9010001669</t>
  </si>
  <si>
    <t>40226046916</t>
  </si>
  <si>
    <t>JOSE FRANCISCO</t>
  </si>
  <si>
    <t>JIMENEZ RODRIGUEZ</t>
  </si>
  <si>
    <t>42817</t>
  </si>
  <si>
    <t>22300617036</t>
  </si>
  <si>
    <t>MARIEL ELIZABETH</t>
  </si>
  <si>
    <t>GONZALEZ DE CASTRO</t>
  </si>
  <si>
    <t>785458290</t>
  </si>
  <si>
    <t>ODONTOLOGO</t>
  </si>
  <si>
    <t>01800692657</t>
  </si>
  <si>
    <t>GLORIA</t>
  </si>
  <si>
    <t>BELLO</t>
  </si>
  <si>
    <t>9601182921</t>
  </si>
  <si>
    <t>12345</t>
  </si>
  <si>
    <t>Santo Domingo, Oeste</t>
  </si>
  <si>
    <t>40223185337</t>
  </si>
  <si>
    <t>PATRICIA DEL CARMEN</t>
  </si>
  <si>
    <t>BERROA DURAN</t>
  </si>
  <si>
    <t>9601738653</t>
  </si>
  <si>
    <t>40234726954</t>
  </si>
  <si>
    <t xml:space="preserve">Neydy Meriam </t>
  </si>
  <si>
    <t>Toledo Morillo</t>
  </si>
  <si>
    <t>9603588634</t>
  </si>
  <si>
    <t>Bajos de haina  Barrió Magdalena  CalleB casa#8 Cerca del taller chichi</t>
  </si>
  <si>
    <t>40233784079</t>
  </si>
  <si>
    <t>CRISMEYRI YOSKAIRI</t>
  </si>
  <si>
    <t>TORIBIO POLANCO</t>
  </si>
  <si>
    <t>9603542054</t>
  </si>
  <si>
    <t>Yudith Rodriguez - ADMDM</t>
  </si>
  <si>
    <t>SABANA PERDIDA</t>
  </si>
  <si>
    <t>40220020727</t>
  </si>
  <si>
    <t>YANNA</t>
  </si>
  <si>
    <t>SORIANO GOMEZ</t>
  </si>
  <si>
    <t>9602234335</t>
  </si>
  <si>
    <t>00113484307</t>
  </si>
  <si>
    <t>GRACIELA ALTAGRACIA</t>
  </si>
  <si>
    <t>QUIÑONEZ GOMEZ</t>
  </si>
  <si>
    <t>15164960023</t>
  </si>
  <si>
    <t>50220</t>
  </si>
  <si>
    <t>VILLA FARO</t>
  </si>
  <si>
    <t>02601134105</t>
  </si>
  <si>
    <t>ALTAGRACIA</t>
  </si>
  <si>
    <t>BERROA CIRIACO</t>
  </si>
  <si>
    <t>3200061586</t>
  </si>
  <si>
    <t>SAN PEDRO DE MACORIS</t>
  </si>
  <si>
    <t>00115204794</t>
  </si>
  <si>
    <t>6500206752</t>
  </si>
  <si>
    <t>GUERRA</t>
  </si>
  <si>
    <t>40226320766</t>
  </si>
  <si>
    <t>IRANIA</t>
  </si>
  <si>
    <t>9601104151</t>
  </si>
  <si>
    <t>40225306220</t>
  </si>
  <si>
    <t>MARILYN NOEMI</t>
  </si>
  <si>
    <t>9601001249</t>
  </si>
  <si>
    <t>40220416800</t>
  </si>
  <si>
    <t>JASMELY</t>
  </si>
  <si>
    <t>CASTILLO</t>
  </si>
  <si>
    <t>2520084136</t>
  </si>
  <si>
    <t>03105468437</t>
  </si>
  <si>
    <t>40220746545</t>
  </si>
  <si>
    <t>Lourdes Orquidia</t>
  </si>
  <si>
    <t>Padilla Alvarez</t>
  </si>
  <si>
    <t>0784463549</t>
  </si>
  <si>
    <t>14117</t>
  </si>
  <si>
    <t>01800741157</t>
  </si>
  <si>
    <t xml:space="preserve">INGRID PATRICIA </t>
  </si>
  <si>
    <t>MONTAS TERRERO</t>
  </si>
  <si>
    <t>9600155935</t>
  </si>
  <si>
    <t>VILLA DUARTE SANTO DOMINGO ESTE</t>
  </si>
  <si>
    <t>01600136798</t>
  </si>
  <si>
    <t xml:space="preserve">ESTHER </t>
  </si>
  <si>
    <t>ALCANTARA BERROA</t>
  </si>
  <si>
    <t>3200538970</t>
  </si>
  <si>
    <t>30013</t>
  </si>
  <si>
    <t>VILLA MELLA</t>
  </si>
  <si>
    <t>40225834015</t>
  </si>
  <si>
    <t xml:space="preserve">ALTAGRACIA JOSEFINA </t>
  </si>
  <si>
    <t>LOPEZ</t>
  </si>
  <si>
    <t>9602891708</t>
  </si>
  <si>
    <t>PIANTINI</t>
  </si>
  <si>
    <t>00112216767</t>
  </si>
  <si>
    <t>AGUSTIN</t>
  </si>
  <si>
    <t>LA HOZ EMILIANO</t>
  </si>
  <si>
    <t>9600321614</t>
  </si>
  <si>
    <t>48114</t>
  </si>
  <si>
    <t>00106701709</t>
  </si>
  <si>
    <t xml:space="preserve">MARILYN </t>
  </si>
  <si>
    <t>ANDUJAR VOLQUEZ</t>
  </si>
  <si>
    <t>163-066897-6</t>
  </si>
  <si>
    <t>HERRERA SANTO DOMINGO  OESTE</t>
  </si>
  <si>
    <t>40221910983</t>
  </si>
  <si>
    <t xml:space="preserve">NADRISSA INELKA </t>
  </si>
  <si>
    <t>PEREZ ALCANTARA</t>
  </si>
  <si>
    <t>9602581576</t>
  </si>
  <si>
    <t>CAOBAS</t>
  </si>
  <si>
    <t>00103455119</t>
  </si>
  <si>
    <t>ISABEL</t>
  </si>
  <si>
    <t>CASTILLO CRUZ</t>
  </si>
  <si>
    <t>03658870016</t>
  </si>
  <si>
    <t>NIGUA</t>
  </si>
  <si>
    <t>40222982650</t>
  </si>
  <si>
    <t>ESTER</t>
  </si>
  <si>
    <t>DE JESUS</t>
  </si>
  <si>
    <t>814154928</t>
  </si>
  <si>
    <t>66600</t>
  </si>
  <si>
    <t>ENSANCHE ISABELITA</t>
  </si>
  <si>
    <t>00117502393</t>
  </si>
  <si>
    <t>JUGLYS ESTELA</t>
  </si>
  <si>
    <t>SAMBOY TEJEDA</t>
  </si>
  <si>
    <t xml:space="preserve">SANTO DOMINGO ESTE </t>
  </si>
  <si>
    <t>22300782053</t>
  </si>
  <si>
    <t xml:space="preserve">ODELKIS </t>
  </si>
  <si>
    <t>DOMINGUEZ RODRIGUEZ</t>
  </si>
  <si>
    <t>9600936467</t>
  </si>
  <si>
    <t>285296</t>
  </si>
  <si>
    <t>Alma Rosa Primera, Santo Domingo Este</t>
  </si>
  <si>
    <t>40220386110</t>
  </si>
  <si>
    <t>ROSMERY</t>
  </si>
  <si>
    <t xml:space="preserve"> TUSENT FIGUEROA</t>
  </si>
  <si>
    <t>9300028600</t>
  </si>
  <si>
    <t>21995</t>
  </si>
  <si>
    <t>00110153830</t>
  </si>
  <si>
    <t>ANATALIA</t>
  </si>
  <si>
    <t>VARGAS</t>
  </si>
  <si>
    <t>9601292509</t>
  </si>
  <si>
    <t>228650</t>
  </si>
  <si>
    <t>ENSANCHE LAS AMERICAS, SANTO DOMINGO ESTE</t>
  </si>
  <si>
    <t>40222939429</t>
  </si>
  <si>
    <t>LAY DISLA</t>
  </si>
  <si>
    <t>5800503536</t>
  </si>
  <si>
    <t>2227</t>
  </si>
  <si>
    <t>CARRETERA MELLA. SANTO DOMINGO ESTE</t>
  </si>
  <si>
    <t>40225277918</t>
  </si>
  <si>
    <t>LEONALD</t>
  </si>
  <si>
    <t>CUETO MAÑON</t>
  </si>
  <si>
    <t>9602891449</t>
  </si>
  <si>
    <t>SAN PEDRO DE MACORI</t>
  </si>
  <si>
    <t>22300372731</t>
  </si>
  <si>
    <t>ELEANA CAROLINA</t>
  </si>
  <si>
    <t>ADAMES DE REYNOSO</t>
  </si>
  <si>
    <t>1003706142</t>
  </si>
  <si>
    <t>031917</t>
  </si>
  <si>
    <t>40225472295</t>
  </si>
  <si>
    <t>YEANNELY DIOSNELIS</t>
  </si>
  <si>
    <t>VARGAS MINAYA</t>
  </si>
  <si>
    <t>9601868903</t>
  </si>
  <si>
    <t>MAO</t>
  </si>
  <si>
    <t>02000152872</t>
  </si>
  <si>
    <t xml:space="preserve">RAIDELINA </t>
  </si>
  <si>
    <t>CUEVAS SEGURA</t>
  </si>
  <si>
    <t>0130480785</t>
  </si>
  <si>
    <t>23120</t>
  </si>
  <si>
    <t>09300512879</t>
  </si>
  <si>
    <t xml:space="preserve">VIANELIS GISEL </t>
  </si>
  <si>
    <t>PEREZ AQUINO</t>
  </si>
  <si>
    <t>3033560001</t>
  </si>
  <si>
    <t>CRUCE DE HAINA</t>
  </si>
  <si>
    <t>01201217740</t>
  </si>
  <si>
    <t>YAINEL YARITZA</t>
  </si>
  <si>
    <t>CARABALLO LOPEZ</t>
  </si>
  <si>
    <t>9602836687</t>
  </si>
  <si>
    <t>02800852689</t>
  </si>
  <si>
    <t xml:space="preserve">NEFTALI </t>
  </si>
  <si>
    <t xml:space="preserve">RIJO GARCIA </t>
  </si>
  <si>
    <t>17236720025</t>
  </si>
  <si>
    <t>36616</t>
  </si>
  <si>
    <t>Maria Corona - ADMDM</t>
  </si>
  <si>
    <t>BALDOMERO RIJO #5, SECTOR LA AVIACION, HIGUEY</t>
  </si>
  <si>
    <t>40210901886</t>
  </si>
  <si>
    <t xml:space="preserve">JENNIFER MILAGROS </t>
  </si>
  <si>
    <t xml:space="preserve">DE AZA MARTE </t>
  </si>
  <si>
    <t>LAS COLINAS II, C/C #4</t>
  </si>
  <si>
    <t>40226078505</t>
  </si>
  <si>
    <t xml:space="preserve">YISMEILIN AVRIL </t>
  </si>
  <si>
    <t>REMIGIO</t>
  </si>
  <si>
    <t xml:space="preserve">9601016189 </t>
  </si>
  <si>
    <t>22600185528</t>
  </si>
  <si>
    <t>DANILCRYS MARIA</t>
  </si>
  <si>
    <t>LEYBA ORTIZ</t>
  </si>
  <si>
    <t>29216820018</t>
  </si>
  <si>
    <t>00201596210</t>
  </si>
  <si>
    <t>Dayanna E.</t>
  </si>
  <si>
    <t>Rodríguez C.</t>
  </si>
  <si>
    <t>9601292218</t>
  </si>
  <si>
    <t>17619</t>
  </si>
  <si>
    <t>San Cristobal</t>
  </si>
  <si>
    <t>40218499909</t>
  </si>
  <si>
    <t xml:space="preserve">Hailys </t>
  </si>
  <si>
    <t>Quiñones Medina</t>
  </si>
  <si>
    <t>960 340 8521</t>
  </si>
  <si>
    <t>sabana perdida</t>
  </si>
  <si>
    <t>22301473637</t>
  </si>
  <si>
    <t>GONZALEZ</t>
  </si>
  <si>
    <t>9602537208</t>
  </si>
  <si>
    <t>BRISAS DEL ESTE</t>
  </si>
  <si>
    <t>40220026286</t>
  </si>
  <si>
    <t>NORIS</t>
  </si>
  <si>
    <t xml:space="preserve"> VANTERPOOL</t>
  </si>
  <si>
    <t>0805952520</t>
  </si>
  <si>
    <t>00112077755</t>
  </si>
  <si>
    <t>DAVID</t>
  </si>
  <si>
    <t>PEREZ HICHEZ</t>
  </si>
  <si>
    <t>00114231517</t>
  </si>
  <si>
    <t>ZUNILDA</t>
  </si>
  <si>
    <t>REYES HENRIQUEZ</t>
  </si>
  <si>
    <t>9602543260</t>
  </si>
  <si>
    <t>4421</t>
  </si>
  <si>
    <t>ROSALES DEL ESTE</t>
  </si>
  <si>
    <t>01000951309</t>
  </si>
  <si>
    <t>GREICI ISABEL</t>
  </si>
  <si>
    <t>RAMIREZ DIAZ</t>
  </si>
  <si>
    <t>757291711</t>
  </si>
  <si>
    <t>MAXIMO GOMEZ</t>
  </si>
  <si>
    <t>01200080965</t>
  </si>
  <si>
    <t>MARIBEL</t>
  </si>
  <si>
    <t>MATEO ADAMES DE OVIEDO</t>
  </si>
  <si>
    <t>16225860023</t>
  </si>
  <si>
    <t>02301526147</t>
  </si>
  <si>
    <t>YOKASTA</t>
  </si>
  <si>
    <t xml:space="preserve">MECIDO ESEA </t>
  </si>
  <si>
    <t>9600548788</t>
  </si>
  <si>
    <t>24015</t>
  </si>
  <si>
    <t>URBANIZACIÓN YILDA, VERON PUNTA CANA</t>
  </si>
  <si>
    <t>02301546418</t>
  </si>
  <si>
    <t>YUHEIRI EDITH</t>
  </si>
  <si>
    <t>ABREU SANCHEZ</t>
  </si>
  <si>
    <t>SCOTIABANK</t>
  </si>
  <si>
    <t>40535007819339</t>
  </si>
  <si>
    <t>20717</t>
  </si>
  <si>
    <t>SAN PEDRO MACORIS</t>
  </si>
  <si>
    <t>05300456786</t>
  </si>
  <si>
    <t xml:space="preserve">VIRGINIA DE LOS ANGELES </t>
  </si>
  <si>
    <t xml:space="preserve">BAEZ GARCIA </t>
  </si>
  <si>
    <t>9602889619</t>
  </si>
  <si>
    <t>AVENIDA EEUU, BAVARO</t>
  </si>
  <si>
    <t>40224568721</t>
  </si>
  <si>
    <t xml:space="preserve">ALBA VERONICA </t>
  </si>
  <si>
    <t>HEYLIGER</t>
  </si>
  <si>
    <t>7400111148</t>
  </si>
  <si>
    <t>BAVARO</t>
  </si>
  <si>
    <t>40212852525</t>
  </si>
  <si>
    <t>ANLLY KAROLINA</t>
  </si>
  <si>
    <t>PIMENTEL FAMILIA</t>
  </si>
  <si>
    <t>03103569509</t>
  </si>
  <si>
    <t>YAJAIRA</t>
  </si>
  <si>
    <t>DIAZ</t>
  </si>
  <si>
    <t>9603750255</t>
  </si>
  <si>
    <t>00114751456</t>
  </si>
  <si>
    <t>THELMA ANGELICA</t>
  </si>
  <si>
    <t>GUERR HERNANDEZ</t>
  </si>
  <si>
    <t>1020188799</t>
  </si>
  <si>
    <t>10</t>
  </si>
  <si>
    <t>Autopista de San Isidro</t>
  </si>
  <si>
    <t>LEONCIA</t>
  </si>
  <si>
    <t>ENCARNACION FLORIAN</t>
  </si>
  <si>
    <t>0450251370</t>
  </si>
  <si>
    <t>MARGINAL DE LAS AMERICAS PROXIMO AL HIPODROMO</t>
  </si>
  <si>
    <t>03101379745</t>
  </si>
  <si>
    <t>MARTHA ROSA</t>
  </si>
  <si>
    <t>RODRIGUEZ HIDALGO</t>
  </si>
  <si>
    <t>1202239361</t>
  </si>
  <si>
    <t>LOS ALMÁCIGOS LA CANELA,SANTIAGO</t>
  </si>
  <si>
    <t>40220973800</t>
  </si>
  <si>
    <t xml:space="preserve">Marlenis </t>
  </si>
  <si>
    <t xml:space="preserve">Matos </t>
  </si>
  <si>
    <t>773400841</t>
  </si>
  <si>
    <t>Veron</t>
  </si>
  <si>
    <t>02301308181</t>
  </si>
  <si>
    <t xml:space="preserve">REYNA CARIDAD </t>
  </si>
  <si>
    <t>MARTINEZ DOTEL</t>
  </si>
  <si>
    <t>1101312218</t>
  </si>
  <si>
    <t>VERON</t>
  </si>
  <si>
    <t>001-1834716</t>
  </si>
  <si>
    <t>MARIA ESTEFANY</t>
  </si>
  <si>
    <t>BURGOS TEJADA</t>
  </si>
  <si>
    <t>2630028105</t>
  </si>
  <si>
    <t>8921</t>
  </si>
  <si>
    <t>CRISTO REY</t>
  </si>
  <si>
    <t>40235099401</t>
  </si>
  <si>
    <t xml:space="preserve">THALIA </t>
  </si>
  <si>
    <t>GARABITO</t>
  </si>
  <si>
    <t>26588480010</t>
  </si>
  <si>
    <t>LOS MINA SANTO DOMINGO ESTE</t>
  </si>
  <si>
    <t>10600074354</t>
  </si>
  <si>
    <t>SADY</t>
  </si>
  <si>
    <t>15991880021</t>
  </si>
  <si>
    <t>22400067405</t>
  </si>
  <si>
    <t>IRIS MARGARITA</t>
  </si>
  <si>
    <t>SUAREZ</t>
  </si>
  <si>
    <t>1600630865</t>
  </si>
  <si>
    <t>ENSANCHE LOS TAINOS, SANTO DOMINGO ESTE</t>
  </si>
  <si>
    <t>22900201181</t>
  </si>
  <si>
    <t xml:space="preserve">ALTAGRACIA </t>
  </si>
  <si>
    <t>FERREIRA JIMENEZ</t>
  </si>
  <si>
    <t>9604013936</t>
  </si>
  <si>
    <t>LOS RIOS</t>
  </si>
  <si>
    <t>00113003271</t>
  </si>
  <si>
    <t xml:space="preserve">ROSSANNA </t>
  </si>
  <si>
    <t>RAMÍREZ SÁNCHEZ</t>
  </si>
  <si>
    <t>0440054001</t>
  </si>
  <si>
    <t>LOS MINA</t>
  </si>
  <si>
    <t>40220776625</t>
  </si>
  <si>
    <t xml:space="preserve">YEILIN LICELOT </t>
  </si>
  <si>
    <t>JAVIER ROJAS</t>
  </si>
  <si>
    <t>30558870010</t>
  </si>
  <si>
    <t>SANTO DOMINO ESTE</t>
  </si>
  <si>
    <t>40225337779</t>
  </si>
  <si>
    <t>ANLLELINE JOSELYN</t>
  </si>
  <si>
    <t>TAVERAS ANGLADO</t>
  </si>
  <si>
    <t>1130215170</t>
  </si>
  <si>
    <t>Beatriz Davila - ADMDM</t>
  </si>
  <si>
    <t>VILLA ESPAÑA SPM</t>
  </si>
  <si>
    <t>02301710287</t>
  </si>
  <si>
    <t>JOARA KATHERINE</t>
  </si>
  <si>
    <t>VASQUEZ  BRANAGAN</t>
  </si>
  <si>
    <t>9603095814</t>
  </si>
  <si>
    <t>SPM</t>
  </si>
  <si>
    <t>12600026020</t>
  </si>
  <si>
    <t>NARDA MIGUELINA</t>
  </si>
  <si>
    <t>RODRIGUEZ CALDERON</t>
  </si>
  <si>
    <t>24824650026</t>
  </si>
  <si>
    <t>22301699306</t>
  </si>
  <si>
    <t>ANGELA BEATRIZ</t>
  </si>
  <si>
    <t>SUAREZ DE FELIZ</t>
  </si>
  <si>
    <t>26623290016</t>
  </si>
  <si>
    <t>LAS AMERICAS</t>
  </si>
  <si>
    <t>02301611907</t>
  </si>
  <si>
    <t>HENRY LEANDRO</t>
  </si>
  <si>
    <t>NIVAR ROJAS</t>
  </si>
  <si>
    <t>9600069670</t>
  </si>
  <si>
    <t>20019</t>
  </si>
  <si>
    <t>BARRIO MEXICO SPM</t>
  </si>
  <si>
    <t>00201805611</t>
  </si>
  <si>
    <t xml:space="preserve">ANDREINA </t>
  </si>
  <si>
    <t>ROSARIO RAMIREZ</t>
  </si>
  <si>
    <t>803819606</t>
  </si>
  <si>
    <t>04900758485</t>
  </si>
  <si>
    <t>ROSARIO ADALGISA</t>
  </si>
  <si>
    <t>HERNANDEZ GONZALEZ</t>
  </si>
  <si>
    <t>670-019222-2</t>
  </si>
  <si>
    <t>00201602299</t>
  </si>
  <si>
    <t>ENEIDA CARMONA</t>
  </si>
  <si>
    <t>MORENO DE DIAZ</t>
  </si>
  <si>
    <t>0820326049</t>
  </si>
  <si>
    <t>40221874775</t>
  </si>
  <si>
    <t>YELITHZA</t>
  </si>
  <si>
    <t>DE LOS SANTOS VOLQUEZ</t>
  </si>
  <si>
    <t>29551420016</t>
  </si>
  <si>
    <t>40212651067</t>
  </si>
  <si>
    <t>KARLINA</t>
  </si>
  <si>
    <t>9603707258</t>
  </si>
  <si>
    <t>40224547717</t>
  </si>
  <si>
    <t>PATRICIA JOSEFINA</t>
  </si>
  <si>
    <t>NUÑEZ MONTERO</t>
  </si>
  <si>
    <t>21359030033</t>
  </si>
  <si>
    <t>00119089712</t>
  </si>
  <si>
    <t>ESTRELLITA DOMINICANA</t>
  </si>
  <si>
    <t>MEJIA GIL</t>
  </si>
  <si>
    <t>9601917735</t>
  </si>
  <si>
    <t>LOS GIRAOLES</t>
  </si>
  <si>
    <t>40225408331</t>
  </si>
  <si>
    <t>MIRLENY ALEJANDRA</t>
  </si>
  <si>
    <t>GEORGE MATIRGE</t>
  </si>
  <si>
    <t>9602860720</t>
  </si>
  <si>
    <t>40211257932</t>
  </si>
  <si>
    <t xml:space="preserve">RUTH ESTHER </t>
  </si>
  <si>
    <t>DE LA CRUZ SILVERIO</t>
  </si>
  <si>
    <t>CONSUELO</t>
  </si>
  <si>
    <t>00117750190</t>
  </si>
  <si>
    <t>VICTOR MANUEL</t>
  </si>
  <si>
    <t>PEREZ MARTE</t>
  </si>
  <si>
    <t>NEW YORK</t>
  </si>
  <si>
    <t>00201474863</t>
  </si>
  <si>
    <t>JENNIFER ROCIO</t>
  </si>
  <si>
    <t>CUEVAS GERONIMO</t>
  </si>
  <si>
    <t>0801784655</t>
  </si>
  <si>
    <t>284442</t>
  </si>
  <si>
    <t>02301680985</t>
  </si>
  <si>
    <t xml:space="preserve">ZULEIKA </t>
  </si>
  <si>
    <t>LUIS FORTUNO</t>
  </si>
  <si>
    <t>792819716</t>
  </si>
  <si>
    <t>40228548927</t>
  </si>
  <si>
    <t xml:space="preserve">NATALIA ROSARIO </t>
  </si>
  <si>
    <t>JEAN</t>
  </si>
  <si>
    <t>9603237623</t>
  </si>
  <si>
    <t>40224978060</t>
  </si>
  <si>
    <t>ALTAGRACIA ARELIS</t>
  </si>
  <si>
    <t>OGANDO CABRERA</t>
  </si>
  <si>
    <t>9603209122</t>
  </si>
  <si>
    <t xml:space="preserve">C/ Juan Pablo Duarte, Los Olivos #9, Santo Domingo, R.D </t>
  </si>
  <si>
    <t>40226763445</t>
  </si>
  <si>
    <t>ANA LUZ</t>
  </si>
  <si>
    <t>ESPINOSA DE JESUS</t>
  </si>
  <si>
    <t>0811259894</t>
  </si>
  <si>
    <t>22300915273</t>
  </si>
  <si>
    <t>Flor</t>
  </si>
  <si>
    <t>Ferreras Rivas</t>
  </si>
  <si>
    <t>9602773565</t>
  </si>
  <si>
    <t>santo domingo este</t>
  </si>
  <si>
    <t>40223157674</t>
  </si>
  <si>
    <t>KATHERYN MARIA</t>
  </si>
  <si>
    <t>RODRIGUEZ MARTINEZ</t>
  </si>
  <si>
    <t>9601639663</t>
  </si>
  <si>
    <t>Santiago</t>
  </si>
  <si>
    <t>22400039859</t>
  </si>
  <si>
    <t>DISNANYURI MARIA</t>
  </si>
  <si>
    <t>LIBERATA ALEJO</t>
  </si>
  <si>
    <t>9603045125</t>
  </si>
  <si>
    <t>Santo Domingo</t>
  </si>
  <si>
    <t>01200616702</t>
  </si>
  <si>
    <t xml:space="preserve">ESPERANZA </t>
  </si>
  <si>
    <t>DE LOS SANTOS ALCANTARA</t>
  </si>
  <si>
    <t>9603487130</t>
  </si>
  <si>
    <t>88888</t>
  </si>
  <si>
    <t>INVIVIENDA, CHARLES DE GAULLE</t>
  </si>
  <si>
    <t>00114682008</t>
  </si>
  <si>
    <t>INGRID DENISSE</t>
  </si>
  <si>
    <t>MESA</t>
  </si>
  <si>
    <t>0200629245</t>
  </si>
  <si>
    <t>13119</t>
  </si>
  <si>
    <t>PROXIMO PARQUE LA TRINITARIA. AVENIDA DUARTE</t>
  </si>
  <si>
    <t>40214577807</t>
  </si>
  <si>
    <t>ALKELYS</t>
  </si>
  <si>
    <t>CASTRO</t>
  </si>
  <si>
    <t>9602839754</t>
  </si>
  <si>
    <t>11119</t>
  </si>
  <si>
    <t>NOMBRE COMPLETO</t>
  </si>
  <si>
    <t>ANYELINA GREEN CANCU</t>
  </si>
  <si>
    <t>BARTOLINA HERNANDEZ</t>
  </si>
  <si>
    <t>BELGICA AMADOR</t>
  </si>
  <si>
    <t>DAMARIS REYES ALMONTE</t>
  </si>
  <si>
    <t>DANIUSKA DURAN</t>
  </si>
  <si>
    <t>DULCE MARIA VALDEZ FLORENTINO</t>
  </si>
  <si>
    <t>FEDRINA CORDERO</t>
  </si>
  <si>
    <t>GAVINA VENTURA</t>
  </si>
  <si>
    <t>GLENNY MARIA MEZON ROMERO</t>
  </si>
  <si>
    <t>HEVERLINA FLORENTINO</t>
  </si>
  <si>
    <t>JANCY ANTONIO PORTORREAL</t>
  </si>
  <si>
    <t>JUANA MORENO</t>
  </si>
  <si>
    <t>KILSY MARLEN DE JESUS ENCARNACION</t>
  </si>
  <si>
    <t>LARAMY BAILON</t>
  </si>
  <si>
    <t>LILIANA ENCARNACION REYES</t>
  </si>
  <si>
    <t>LUNIELIS PEREZ</t>
  </si>
  <si>
    <t>LUZ ENEIDA SIMEDES</t>
  </si>
  <si>
    <t>LUZ MARIA RAMIREZ CABRERA</t>
  </si>
  <si>
    <t>MARIANELIS AQUINO</t>
  </si>
  <si>
    <t>NOEMI TORIBIO CEBALLO</t>
  </si>
  <si>
    <t>PETRONILA NIVAR GUZMAN</t>
  </si>
  <si>
    <t>RENNI EXTHEL RIVERA ALCANTARA</t>
  </si>
  <si>
    <t>RUDELANIA MERCEDES</t>
  </si>
  <si>
    <t>SANTA MEJIA</t>
  </si>
  <si>
    <t>VALERIA GARCIA</t>
  </si>
  <si>
    <t>WALDY ENCARNACION</t>
  </si>
  <si>
    <t>YESSICA LUCIA PERALTA INFANTE</t>
  </si>
  <si>
    <t>YONAIRI FRIAS</t>
  </si>
  <si>
    <t>LUZ NAICA PACHECO</t>
  </si>
  <si>
    <t>ANA LEBRON</t>
  </si>
  <si>
    <t>ANGEL HERNANDEZ GUTIERREZ</t>
  </si>
  <si>
    <t>ANGELA OVIEDO</t>
  </si>
  <si>
    <t>BIELKA NUNEZ</t>
  </si>
  <si>
    <t>CARMEN ROSARIO</t>
  </si>
  <si>
    <t>DAHIANA MERCEDES HERNANDEZ RODRIGUEZ</t>
  </si>
  <si>
    <t>DAMEL CEDENO</t>
  </si>
  <si>
    <t>DILENIA RIVERA</t>
  </si>
  <si>
    <t>ELIOT SILVA PENA</t>
  </si>
  <si>
    <t>ENMANUEL PEGUERO</t>
  </si>
  <si>
    <t>EYIS CUSTODIO</t>
  </si>
  <si>
    <t>FELIX ANTONIO ALCANTARA ABREU</t>
  </si>
  <si>
    <t>GRISELDA MEJIA VASQUEZ</t>
  </si>
  <si>
    <t>JENNY NUNEZ</t>
  </si>
  <si>
    <t>JESSICA GUERRERO</t>
  </si>
  <si>
    <t>JUAN PEREZ</t>
  </si>
  <si>
    <t>KATHERINE CONCEPCION</t>
  </si>
  <si>
    <t>LAURA ACOSTA</t>
  </si>
  <si>
    <t>LAURA MARTE</t>
  </si>
  <si>
    <t>LAURA PATRICIA CORDERO VALERIO</t>
  </si>
  <si>
    <t>LETICIA BONILLA AREU</t>
  </si>
  <si>
    <t>LILLIANA GUZMAN</t>
  </si>
  <si>
    <t>MILAGROS MEJIA</t>
  </si>
  <si>
    <t>YENNIFER FORTUNA BENITEZ</t>
  </si>
  <si>
    <t>YULEIRI FIGUEREO CASTILLO</t>
  </si>
  <si>
    <t>GISSELLE CAPELLAN</t>
  </si>
  <si>
    <t>ENICI  RAQUEL  AGRAMONTE DE OLEO</t>
  </si>
  <si>
    <t>STEPHANY CAROLINA SANCHEZ CEDANO</t>
  </si>
  <si>
    <t xml:space="preserve">JATNERYS  DE LOS SANTOS ROBLES </t>
  </si>
  <si>
    <t>MASSIEL ANGELINA  DE LA ROSA</t>
  </si>
  <si>
    <t>JENNY ESTEPHANY  BAEZ PEGUERO</t>
  </si>
  <si>
    <t>ESMEIRA FELICIANO</t>
  </si>
  <si>
    <t>JOHANNA SOSA</t>
  </si>
  <si>
    <t>ANABEL  CONTRERAS FELIZ</t>
  </si>
  <si>
    <t>NICOL CASTILLO FELIZ</t>
  </si>
  <si>
    <t>ROSA ISABEL ANGELES BAEZ</t>
  </si>
  <si>
    <t>DILIA LUCIA RODRIGUEZ DELANCE</t>
  </si>
  <si>
    <t>JAVIER REYNALDO  MORALES RODRIGUEZ</t>
  </si>
  <si>
    <t>ELYDANIA  VALDEZ RODRIGUEZ</t>
  </si>
  <si>
    <t>MARLENY MENDEZ GERALDO</t>
  </si>
  <si>
    <t>EDGAR ANTONIO RODRIGUEZ MERAN</t>
  </si>
  <si>
    <t>MARIA NELIS CABRERA CONTRERAS</t>
  </si>
  <si>
    <t>RUTH DILANIA CUEVAS SANCHEZ</t>
  </si>
  <si>
    <t>DAWRY DE JESUS CONCEPCION ROSARIO</t>
  </si>
  <si>
    <t>ANABEL  DE LOS SANTOS NOVAS</t>
  </si>
  <si>
    <t>FATIMA ADAIRIS PINALES PUJOLS</t>
  </si>
  <si>
    <t>DOLORES CAROLINA CORDERO ARIAS</t>
  </si>
  <si>
    <t>YILANDY MANUELA  SANTANA</t>
  </si>
  <si>
    <t>MARVIN ALEJANDRO CONTRERAS URBANEJA</t>
  </si>
  <si>
    <t>ANGIE GRULLON</t>
  </si>
  <si>
    <t>CAROLYN REINOSO</t>
  </si>
  <si>
    <t xml:space="preserve">GRISEL CANELA </t>
  </si>
  <si>
    <t>IVELISSE GERMAN GARCIA</t>
  </si>
  <si>
    <t>GIORDHY JOSE HERRA BATISTA</t>
  </si>
  <si>
    <t>DIANA ALEJANDRA CEDANO MATEO</t>
  </si>
  <si>
    <t>EVELYN MERCEDES UREÑA PEREYRA</t>
  </si>
  <si>
    <t>GRISEL CANELA</t>
  </si>
  <si>
    <t>LEIDY DIANA REYNOSO</t>
  </si>
  <si>
    <t>ESTEPHANI ROSARIO8</t>
  </si>
  <si>
    <t>MARIELYS PERDOMO</t>
  </si>
  <si>
    <t>GLORIA BELLO</t>
  </si>
  <si>
    <t>GRACIELA ALTAGRACIA QUIÑONEZ GOMEZ</t>
  </si>
  <si>
    <t>ALTAGRACIA BERROA CIRIACO</t>
  </si>
  <si>
    <t>JUANA SANTANA</t>
  </si>
  <si>
    <t>IRANIA CONCEPCION</t>
  </si>
  <si>
    <t>MARILYN NOEMI ROSARIO</t>
  </si>
  <si>
    <t>JASMELY CASTILLO</t>
  </si>
  <si>
    <t>INGRID PATRICIA  MONTAS TERRERO</t>
  </si>
  <si>
    <t>ALTAGRACIA JOSEFINA  LOPEZ</t>
  </si>
  <si>
    <t>MARILYN  ANDUJAR VOLQUEZ</t>
  </si>
  <si>
    <t>NADRISSA INELKA  PEREZ ALCANTARA</t>
  </si>
  <si>
    <t>ISABEL CASTILLO CRUZ</t>
  </si>
  <si>
    <t>ESTER DE JESUS</t>
  </si>
  <si>
    <t>JUGLYS ESTELA SAMBOY TEJEDA</t>
  </si>
  <si>
    <t>ODELKIS  DOMINGUEZ RODRIGUEZ</t>
  </si>
  <si>
    <t>ROSMERY  TUSENT FIGUEROA</t>
  </si>
  <si>
    <t>ANATALIA VARGAS</t>
  </si>
  <si>
    <t>ANA LUISA LAY DISLA</t>
  </si>
  <si>
    <t>LEONALD CUETO MAÑON</t>
  </si>
  <si>
    <t>ELEANA CAROLINA ADAMES DE REYNOSO</t>
  </si>
  <si>
    <t>YEANNELY DIOSNELIS VARGAS MINAYA</t>
  </si>
  <si>
    <t>RAIDELINA  CUEVAS SEGURA</t>
  </si>
  <si>
    <t>YAINEL YARITZA CARABALLO LOPEZ</t>
  </si>
  <si>
    <t xml:space="preserve">NEFTALI  RIJO GARCIA </t>
  </si>
  <si>
    <t xml:space="preserve">JENNIFER MILAGROS  DE AZA MARTE </t>
  </si>
  <si>
    <t>YISMEILIN AVRIL  REMIGIO</t>
  </si>
  <si>
    <t>DANILCRYS MARIA LEYBA ORTIZ</t>
  </si>
  <si>
    <t>KATHERINE GONZALEZ</t>
  </si>
  <si>
    <t>NORIS  VANTERPOOL</t>
  </si>
  <si>
    <t>DAVID PEREZ HICHEZ</t>
  </si>
  <si>
    <t>ZUNILDA REYES HENRIQUEZ</t>
  </si>
  <si>
    <t>GREICI ISABEL RAMIREZ DIAZ</t>
  </si>
  <si>
    <t>MARIBEL MATEO ADAMES DE OVIEDO</t>
  </si>
  <si>
    <t xml:space="preserve">YOKASTA MECIDO ESEA </t>
  </si>
  <si>
    <t>YUHEIRI EDITH ABREU SANCHEZ</t>
  </si>
  <si>
    <t xml:space="preserve">VIRGINIA DE LOS ANGELES  BAEZ GARCIA </t>
  </si>
  <si>
    <t>ALBA VERONICA  HEYLIGER</t>
  </si>
  <si>
    <t>ANLLY KAROLINA PIMENTEL FAMILIA</t>
  </si>
  <si>
    <t>THELMA ANGELICA GUERR HERNANDEZ</t>
  </si>
  <si>
    <t>LEONCIA ENCARNACION FLORIAN</t>
  </si>
  <si>
    <t>MARTHA ROSA RODRIGUEZ HIDALGO</t>
  </si>
  <si>
    <t>REYNA CARIDAD  MARTINEZ DOTEL</t>
  </si>
  <si>
    <t>MARIA ESTEFANY BURGOS TEJADA</t>
  </si>
  <si>
    <t>THALIA  GARABITO</t>
  </si>
  <si>
    <t>IRIS MARGARITA SUAREZ</t>
  </si>
  <si>
    <t>ALTAGRACIA  FERREIRA JIMENEZ</t>
  </si>
  <si>
    <t>ROSSANNA  RAMÍREZ SÁNCHEZ</t>
  </si>
  <si>
    <t>YEILIN LICELOT  JAVIER ROJAS</t>
  </si>
  <si>
    <t>ANLLELINE JOSELYN TAVERAS ANGLADO</t>
  </si>
  <si>
    <t>JOARA KATHERINE VASQUEZ  BRANAGAN</t>
  </si>
  <si>
    <t>NARDA MIGUELINA RODRIGUEZ CALDERON</t>
  </si>
  <si>
    <t>ANGELA BEATRIZ SUAREZ DE FELIZ</t>
  </si>
  <si>
    <t>HENRY LEANDRO NIVAR ROJAS</t>
  </si>
  <si>
    <t>ANDREINA  ROSARIO RAMIREZ</t>
  </si>
  <si>
    <t>ROSARIO ADALGISA HERNANDEZ GONZALEZ</t>
  </si>
  <si>
    <t>ENEIDA CARMONA MORENO DE DIAZ</t>
  </si>
  <si>
    <t>YELITHZA DE LOS SANTOS VOLQUEZ</t>
  </si>
  <si>
    <t>KARLINA VARGAS</t>
  </si>
  <si>
    <t>PATRICIA JOSEFINA NUÑEZ MONTERO</t>
  </si>
  <si>
    <t>ESTRELLITA DOMINICANA MEJIA GIL</t>
  </si>
  <si>
    <t>MIRLENY ALEJANDRA GEORGE MATIRGE</t>
  </si>
  <si>
    <t>RUTH ESTHER  DE LA CRUZ SILVERIO</t>
  </si>
  <si>
    <t>VICTOR MANUEL PEREZ MARTE</t>
  </si>
  <si>
    <t>JENNIFER ROCIO CUEVAS GERONIMO</t>
  </si>
  <si>
    <t>ZULEIKA  LUIS FORTUNO</t>
  </si>
  <si>
    <t>NATALIA ROSARIO  JEAN</t>
  </si>
  <si>
    <t>ALTAGRACIA ARELIS OGANDO CABRERA</t>
  </si>
  <si>
    <t>ANA LUZ ESPINOSA DE JESUS</t>
  </si>
  <si>
    <t>KATHERYN MARIA RODRIGUEZ MARTINEZ</t>
  </si>
  <si>
    <t>DISNANYURI MARIA LIBERATA ALEJO</t>
  </si>
  <si>
    <t>ESPERANZA  DE LOS SANTOS ALCANTARA</t>
  </si>
  <si>
    <t>INGRID DENISSE MESA</t>
  </si>
  <si>
    <t>ALKELYS CASTRO</t>
  </si>
  <si>
    <t>TIPO_DE_PERSONAL</t>
  </si>
  <si>
    <t>FECHA DE INGRESO</t>
  </si>
  <si>
    <t>ID</t>
  </si>
  <si>
    <t>03105334191</t>
  </si>
  <si>
    <t>ELIZABETH</t>
  </si>
  <si>
    <t>ACEVEDO</t>
  </si>
  <si>
    <t>sites/admdm/PowerApps/Lists/ADMDM_Personal_Dispensarios_Fijos</t>
  </si>
  <si>
    <t>40200736631</t>
  </si>
  <si>
    <t>NOELIA</t>
  </si>
  <si>
    <t>ADAMES BATISTA</t>
  </si>
  <si>
    <t>00002020033</t>
  </si>
  <si>
    <t>ELEANA EVELIN</t>
  </si>
  <si>
    <t>ADRIAN HERNANDEZ</t>
  </si>
  <si>
    <t>MEDICO OCUPACIONAL</t>
  </si>
  <si>
    <t>ENICI RAQUEL</t>
  </si>
  <si>
    <t>00116546334</t>
  </si>
  <si>
    <t>MARIA ESTHER</t>
  </si>
  <si>
    <t>ALBERTO JAVIER</t>
  </si>
  <si>
    <t>02300304140</t>
  </si>
  <si>
    <t>ALBURQUERQUE RAMIREZ</t>
  </si>
  <si>
    <t>ESTHER</t>
  </si>
  <si>
    <t>ALCANTARA DE ROA</t>
  </si>
  <si>
    <t>00108597212</t>
  </si>
  <si>
    <t>DIGNORA</t>
  </si>
  <si>
    <t>ALCANTARA GARCIA</t>
  </si>
  <si>
    <t>01200787099</t>
  </si>
  <si>
    <t>FRANCIS</t>
  </si>
  <si>
    <t>ALCANTARA NOVA</t>
  </si>
  <si>
    <t>01200941423</t>
  </si>
  <si>
    <t>MERCEDES BIENVENIDA</t>
  </si>
  <si>
    <t>ALCANTARA SUERO</t>
  </si>
  <si>
    <t>00117132092</t>
  </si>
  <si>
    <t>RUTH ANGELINA</t>
  </si>
  <si>
    <t>ALVAREZ ALVAREZ</t>
  </si>
  <si>
    <t>22600164424</t>
  </si>
  <si>
    <t>ZULEIKA MARLENY</t>
  </si>
  <si>
    <t>AMADOR AMADOR</t>
  </si>
  <si>
    <t>BELGICA ISANIA</t>
  </si>
  <si>
    <t>AMADOR RODRIGUEZ</t>
  </si>
  <si>
    <t>22500525641</t>
  </si>
  <si>
    <t>JUDITH MARGARITA</t>
  </si>
  <si>
    <t>ASENCIO SOLANO</t>
  </si>
  <si>
    <t>10400219449</t>
  </si>
  <si>
    <t>MIREYA</t>
  </si>
  <si>
    <t>BAEZ DIAZ</t>
  </si>
  <si>
    <t>00201389343</t>
  </si>
  <si>
    <t>SCARLET ONDINA</t>
  </si>
  <si>
    <t>BAEZ DIPRE</t>
  </si>
  <si>
    <t>04600344024</t>
  </si>
  <si>
    <t>BRENDA MAYRENI</t>
  </si>
  <si>
    <t>BAEZ ESTEVEZ</t>
  </si>
  <si>
    <t>00115531568</t>
  </si>
  <si>
    <t>VANESSA DE LOS ANGELES</t>
  </si>
  <si>
    <t>BENITEZ GARCIA</t>
  </si>
  <si>
    <t>40210461154</t>
  </si>
  <si>
    <t>NATHANAEL</t>
  </si>
  <si>
    <t>BRITO</t>
  </si>
  <si>
    <t>CABREJA BAEZ</t>
  </si>
  <si>
    <t>GISELLE ALTAGRACIA</t>
  </si>
  <si>
    <t>CAPELLAN PAULINO</t>
  </si>
  <si>
    <t>40209460670</t>
  </si>
  <si>
    <t>FARA CRISTAL</t>
  </si>
  <si>
    <t>CARRASCO DE LA CRUZ</t>
  </si>
  <si>
    <t>00111013165</t>
  </si>
  <si>
    <t>PATRICIA EMILIA</t>
  </si>
  <si>
    <t>CASTILLO FERNANDEZ</t>
  </si>
  <si>
    <t>00113656821</t>
  </si>
  <si>
    <t>JOENKEN</t>
  </si>
  <si>
    <t>CASTILLO PADILLA</t>
  </si>
  <si>
    <t>22300297573</t>
  </si>
  <si>
    <t>CATHERINE LILIANA</t>
  </si>
  <si>
    <t>CASTRO MARTINEZ</t>
  </si>
  <si>
    <t>02301264251</t>
  </si>
  <si>
    <t>NIURCA ELIZABETH</t>
  </si>
  <si>
    <t>CEDANO DE LOS SANTOS</t>
  </si>
  <si>
    <t>DAMEL ELIZABETH</t>
  </si>
  <si>
    <t>CEDEÑO CRUZ</t>
  </si>
  <si>
    <t>00201075058</t>
  </si>
  <si>
    <t>LUISA MARIA</t>
  </si>
  <si>
    <t>CORDERO DE CORPORAN</t>
  </si>
  <si>
    <t>08700113692</t>
  </si>
  <si>
    <t>MARINO ANTONIO</t>
  </si>
  <si>
    <t>CORONADO HERNANDEZ</t>
  </si>
  <si>
    <t>00500244231</t>
  </si>
  <si>
    <t>MIGUELINA</t>
  </si>
  <si>
    <t>DE JESUS DE LA CRUZ</t>
  </si>
  <si>
    <t>03100898588</t>
  </si>
  <si>
    <t>DE LOS ANGELES JORGE</t>
  </si>
  <si>
    <t>01600187916</t>
  </si>
  <si>
    <t>LUCITANIA</t>
  </si>
  <si>
    <t>DE LOS SANTOS DURAN</t>
  </si>
  <si>
    <t>22301393157</t>
  </si>
  <si>
    <t>YENIFER GARDENIA</t>
  </si>
  <si>
    <t>DE LOS SANTOS MANZUETA</t>
  </si>
  <si>
    <t>40224362463</t>
  </si>
  <si>
    <t>CLARA ANDREA</t>
  </si>
  <si>
    <t>DIAZ GARCIA</t>
  </si>
  <si>
    <t>09300526374</t>
  </si>
  <si>
    <t>FANNY</t>
  </si>
  <si>
    <t>DIAZ RAMIREZ</t>
  </si>
  <si>
    <t>40224236642</t>
  </si>
  <si>
    <t>MELISSA MIGUELINA</t>
  </si>
  <si>
    <t>DOÑE DE LEON</t>
  </si>
  <si>
    <t>00103231973</t>
  </si>
  <si>
    <t>MARGARITA ALTAGRACIA</t>
  </si>
  <si>
    <t>EDUARDS</t>
  </si>
  <si>
    <t>00106081557</t>
  </si>
  <si>
    <t>JANETH</t>
  </si>
  <si>
    <t>ENCARNACION ROSARIO</t>
  </si>
  <si>
    <t>07100412449</t>
  </si>
  <si>
    <t>ESPINAL DE LA CRUZ</t>
  </si>
  <si>
    <t>40221119452</t>
  </si>
  <si>
    <t>ENYI JOSE</t>
  </si>
  <si>
    <t>ESTEVEZ ABREU</t>
  </si>
  <si>
    <t>22301741504</t>
  </si>
  <si>
    <t>MARIA MERCEDES</t>
  </si>
  <si>
    <t>FELIZ SANTANA</t>
  </si>
  <si>
    <t>40220136176</t>
  </si>
  <si>
    <t>RAUL</t>
  </si>
  <si>
    <t>FERMIN</t>
  </si>
  <si>
    <t>03102167172</t>
  </si>
  <si>
    <t>DAMARIS MARIA</t>
  </si>
  <si>
    <t>FERMIN ANGELES</t>
  </si>
  <si>
    <t>06100263620</t>
  </si>
  <si>
    <t>SCARLYNG ALBANESSA</t>
  </si>
  <si>
    <t>FERNANDEZ POLANCO</t>
  </si>
  <si>
    <t>22300605247</t>
  </si>
  <si>
    <t>CINTHIA ELIZABETH</t>
  </si>
  <si>
    <t>FERRERA RIVERA</t>
  </si>
  <si>
    <t>00116606393</t>
  </si>
  <si>
    <t>ANGELA EMILIA</t>
  </si>
  <si>
    <t>FERRERAS DOTEL</t>
  </si>
  <si>
    <t>22300528902</t>
  </si>
  <si>
    <t>MILKA YUDELKA</t>
  </si>
  <si>
    <t>FRANCO CUELLO</t>
  </si>
  <si>
    <t>40221395466</t>
  </si>
  <si>
    <t>ANA NELLY</t>
  </si>
  <si>
    <t>FRANCO PEÑA</t>
  </si>
  <si>
    <t>40224187928</t>
  </si>
  <si>
    <t>GREICY</t>
  </si>
  <si>
    <t>GARCIA COCA</t>
  </si>
  <si>
    <t>00116124728</t>
  </si>
  <si>
    <t>GARCIA MARTE</t>
  </si>
  <si>
    <t>09300558385</t>
  </si>
  <si>
    <t>GLENNY GERMANIA</t>
  </si>
  <si>
    <t>GARCIA PIANTINI</t>
  </si>
  <si>
    <t>40220661272</t>
  </si>
  <si>
    <t>MALLERLYN</t>
  </si>
  <si>
    <t>GIL VERAS</t>
  </si>
  <si>
    <t>40221474477</t>
  </si>
  <si>
    <t>LUDYS FRANCINA</t>
  </si>
  <si>
    <t>GOMEZ MONTERO</t>
  </si>
  <si>
    <t>00116660721</t>
  </si>
  <si>
    <t>LISBETH</t>
  </si>
  <si>
    <t>GONZALEZ VARGAS</t>
  </si>
  <si>
    <t>00118894005</t>
  </si>
  <si>
    <t>ROSANNA MARIA</t>
  </si>
  <si>
    <t>GORIS PAYANO</t>
  </si>
  <si>
    <t>40220130294</t>
  </si>
  <si>
    <t>YOKAIDY YESENIA</t>
  </si>
  <si>
    <t>GUERRERO MEJIA</t>
  </si>
  <si>
    <t>22400135988</t>
  </si>
  <si>
    <t>EDITH MARGARITA</t>
  </si>
  <si>
    <t>GUERRERO MENA</t>
  </si>
  <si>
    <t>06500166225</t>
  </si>
  <si>
    <t>ODALIS MERCEDES</t>
  </si>
  <si>
    <t>GUILLANDEAUX CLARK</t>
  </si>
  <si>
    <t>22400686980</t>
  </si>
  <si>
    <t>YENIFER</t>
  </si>
  <si>
    <t>GUZMAN MEJIA</t>
  </si>
  <si>
    <t>01400195358</t>
  </si>
  <si>
    <t>JARONNY</t>
  </si>
  <si>
    <t>HERNANDEZ CUELLO</t>
  </si>
  <si>
    <t>40225328851</t>
  </si>
  <si>
    <t>HERRERA ORTEGA</t>
  </si>
  <si>
    <t>04701478374</t>
  </si>
  <si>
    <t>DIGNA</t>
  </si>
  <si>
    <t>HERRERA TIFA</t>
  </si>
  <si>
    <t>00107578486</t>
  </si>
  <si>
    <t>JUANA EMILIA</t>
  </si>
  <si>
    <t>HICHEZ DE LA CRUZ</t>
  </si>
  <si>
    <t>02301379406</t>
  </si>
  <si>
    <t>ANA ISA</t>
  </si>
  <si>
    <t>HILARIO ORTIZ</t>
  </si>
  <si>
    <t>14600006630</t>
  </si>
  <si>
    <t>CHANELLY CRISTINA</t>
  </si>
  <si>
    <t>HUGGINS RAMIREZ</t>
  </si>
  <si>
    <t>03105687168</t>
  </si>
  <si>
    <t>KAREN STEFANY</t>
  </si>
  <si>
    <t>JIMENEZ</t>
  </si>
  <si>
    <t>LAHOZ EMILIANO</t>
  </si>
  <si>
    <t>14600015342</t>
  </si>
  <si>
    <t>RAYMER LUISA</t>
  </si>
  <si>
    <t>LEWIS MARTINEZ</t>
  </si>
  <si>
    <t>40220220251</t>
  </si>
  <si>
    <t>KIARA LEONELA</t>
  </si>
  <si>
    <t>LOPEZ DIAZ</t>
  </si>
  <si>
    <t>00115630642</t>
  </si>
  <si>
    <t>CARMEN MARIA</t>
  </si>
  <si>
    <t>LORENZO CANDELARIO</t>
  </si>
  <si>
    <t>10900057927</t>
  </si>
  <si>
    <t>YOCAIRA</t>
  </si>
  <si>
    <t>LUCIANO LUCIANO</t>
  </si>
  <si>
    <t>03105301802</t>
  </si>
  <si>
    <t>ESTHER VANESSA</t>
  </si>
  <si>
    <t>LUGO CARLOT</t>
  </si>
  <si>
    <t>00117583054</t>
  </si>
  <si>
    <t>ALEXANDER</t>
  </si>
  <si>
    <t>LUGO GALICE</t>
  </si>
  <si>
    <t>40223648870</t>
  </si>
  <si>
    <t>ELISANNY JAZMIN</t>
  </si>
  <si>
    <t>LUGO JAVIER</t>
  </si>
  <si>
    <t>00105861405</t>
  </si>
  <si>
    <t>PETRA MARIA</t>
  </si>
  <si>
    <t>MAMBRU MANZANILLO</t>
  </si>
  <si>
    <t>00112686001</t>
  </si>
  <si>
    <t>LIDIANA ELIZABETH</t>
  </si>
  <si>
    <t>MARIÑEZ TORIBIO</t>
  </si>
  <si>
    <t>40224287892</t>
  </si>
  <si>
    <t>JAROLIN LUCERO</t>
  </si>
  <si>
    <t>MARTE ROSA</t>
  </si>
  <si>
    <t>22301411835</t>
  </si>
  <si>
    <t>RICHINA MARGARITA</t>
  </si>
  <si>
    <t>MARTINEZ REYES</t>
  </si>
  <si>
    <t>22400563718</t>
  </si>
  <si>
    <t>DANIRIS</t>
  </si>
  <si>
    <t>MARTINEZ VILLALONA</t>
  </si>
  <si>
    <t>09300644185</t>
  </si>
  <si>
    <t>DANIELA</t>
  </si>
  <si>
    <t>MATEO LEBRON</t>
  </si>
  <si>
    <t>01800519140</t>
  </si>
  <si>
    <t>HUBERT</t>
  </si>
  <si>
    <t>MATOS FELIZ</t>
  </si>
  <si>
    <t>22301406421</t>
  </si>
  <si>
    <t>YULISA</t>
  </si>
  <si>
    <t>MATOS NUÑEZ</t>
  </si>
  <si>
    <t>40222446763</t>
  </si>
  <si>
    <t>HERLYT</t>
  </si>
  <si>
    <t>MATOS ZABALA</t>
  </si>
  <si>
    <t>00116003898</t>
  </si>
  <si>
    <t>KENIA ALTGRACIA</t>
  </si>
  <si>
    <t>MEDINA PUELLO</t>
  </si>
  <si>
    <t>03105289700</t>
  </si>
  <si>
    <t>TUPAC</t>
  </si>
  <si>
    <t>22400000513</t>
  </si>
  <si>
    <t>MEJIA DE LOS SANTOS</t>
  </si>
  <si>
    <t>MILAGROS GISSELLE</t>
  </si>
  <si>
    <t>MEJIA SOTO</t>
  </si>
  <si>
    <t>40220424515</t>
  </si>
  <si>
    <t>JOSE MIGUEL</t>
  </si>
  <si>
    <t>MENDOZA BAEZ</t>
  </si>
  <si>
    <t>02300988447</t>
  </si>
  <si>
    <t>MANUELA</t>
  </si>
  <si>
    <t>MISTEL FELIPE</t>
  </si>
  <si>
    <t>JOHANNY</t>
  </si>
  <si>
    <t>MOJICA GARCES</t>
  </si>
  <si>
    <t>40220101154</t>
  </si>
  <si>
    <t>MONTERO ADAMES</t>
  </si>
  <si>
    <t>40221622331</t>
  </si>
  <si>
    <t>VIATNESA</t>
  </si>
  <si>
    <t>MONTERO OGANDO</t>
  </si>
  <si>
    <t>01201192281</t>
  </si>
  <si>
    <t>MADELYN FERNANDA</t>
  </si>
  <si>
    <t>MONTERO ROSARIO</t>
  </si>
  <si>
    <t>00200071934</t>
  </si>
  <si>
    <t>LORENZA MARIA</t>
  </si>
  <si>
    <t>MORDAN BAEZ</t>
  </si>
  <si>
    <t>00119031698</t>
  </si>
  <si>
    <t>ESTEPHANIE MICHELLE</t>
  </si>
  <si>
    <t>MORONTA</t>
  </si>
  <si>
    <t>04900826795</t>
  </si>
  <si>
    <t>KENIA MARIA</t>
  </si>
  <si>
    <t>MOSQUEA MOSQUEA</t>
  </si>
  <si>
    <t>22300046061</t>
  </si>
  <si>
    <t>GABRIELA MARIA</t>
  </si>
  <si>
    <t>NAVARRO RAMIREZ</t>
  </si>
  <si>
    <t>22301170142</t>
  </si>
  <si>
    <t>SOFHIE STEFANIA</t>
  </si>
  <si>
    <t>NICASIO BURGOS</t>
  </si>
  <si>
    <t>02300890155</t>
  </si>
  <si>
    <t>SANDRA RAQUEL</t>
  </si>
  <si>
    <t>NUÑEZ DE LA CRUZ</t>
  </si>
  <si>
    <t>NUÑEZ HERRA</t>
  </si>
  <si>
    <t>40223930302</t>
  </si>
  <si>
    <t>ANYELA MARIA</t>
  </si>
  <si>
    <t>OLIVARES MENCIA</t>
  </si>
  <si>
    <t>02601326271</t>
  </si>
  <si>
    <t>LUZ VANESSA</t>
  </si>
  <si>
    <t>ORTEGA CEDANO</t>
  </si>
  <si>
    <t>40222918340</t>
  </si>
  <si>
    <t>PAMELA</t>
  </si>
  <si>
    <t>ORTEGA SANTANA</t>
  </si>
  <si>
    <t>00114350473</t>
  </si>
  <si>
    <t>LENIN ARCADIO</t>
  </si>
  <si>
    <t>ORTIZ PEREYRA</t>
  </si>
  <si>
    <t>00112046834</t>
  </si>
  <si>
    <t>MELISSA</t>
  </si>
  <si>
    <t>PEGUERO GONZALEZ</t>
  </si>
  <si>
    <t>00115298960</t>
  </si>
  <si>
    <t>ESMERALDA</t>
  </si>
  <si>
    <t>PEGUERO MAÑON</t>
  </si>
  <si>
    <t>40220516286</t>
  </si>
  <si>
    <t>GINA ESTHER</t>
  </si>
  <si>
    <t>PEÑA CARRION</t>
  </si>
  <si>
    <t>VIANELIS GISEL</t>
  </si>
  <si>
    <t>09300623817</t>
  </si>
  <si>
    <t>BLENNY ALEXANDRA</t>
  </si>
  <si>
    <t>PEREZ BERIGUETE</t>
  </si>
  <si>
    <t>01001089539</t>
  </si>
  <si>
    <t>HECTOR MANUEL</t>
  </si>
  <si>
    <t>PEREZ DIAZ</t>
  </si>
  <si>
    <t>00201246956</t>
  </si>
  <si>
    <t>SANTA ADELAIDA</t>
  </si>
  <si>
    <t>PEREZ MATEO</t>
  </si>
  <si>
    <t>08700115838</t>
  </si>
  <si>
    <t>NEURY JOSEFINA</t>
  </si>
  <si>
    <t>PEREZ REYES</t>
  </si>
  <si>
    <t>00800041790</t>
  </si>
  <si>
    <t>TOMASINA</t>
  </si>
  <si>
    <t>PIMENTEL MORENO</t>
  </si>
  <si>
    <t>22300068255</t>
  </si>
  <si>
    <t>KAREN RAQUEL</t>
  </si>
  <si>
    <t>PIMENTEL RODRIGUEZ</t>
  </si>
  <si>
    <t>02601099282</t>
  </si>
  <si>
    <t>CELIANY</t>
  </si>
  <si>
    <t>POL DOLSI</t>
  </si>
  <si>
    <t>09300118834</t>
  </si>
  <si>
    <t>DENIA MARIBEL</t>
  </si>
  <si>
    <t>POLANCO RODRIGUEZ</t>
  </si>
  <si>
    <t>22400042051</t>
  </si>
  <si>
    <t>POLANCO SARIT</t>
  </si>
  <si>
    <t>00104290192</t>
  </si>
  <si>
    <t>JUANA TRINIDAD</t>
  </si>
  <si>
    <t>PUJOLS DIAZ</t>
  </si>
  <si>
    <t>01100369444</t>
  </si>
  <si>
    <t>WENDY</t>
  </si>
  <si>
    <t>QUEVEDO BERIHUETE</t>
  </si>
  <si>
    <t>40221097369</t>
  </si>
  <si>
    <t>MABEL ESTELA</t>
  </si>
  <si>
    <t>QUEVEDO GONZALEZ</t>
  </si>
  <si>
    <t>05401426217</t>
  </si>
  <si>
    <t>RUTH ESTEPHANY</t>
  </si>
  <si>
    <t>QUEZADA VASQUEZ</t>
  </si>
  <si>
    <t>00119008720</t>
  </si>
  <si>
    <t>CHEILA ESTEPHANIE</t>
  </si>
  <si>
    <t>RAMIREZ BRENS</t>
  </si>
  <si>
    <t>00118775238</t>
  </si>
  <si>
    <t>MASSIEL</t>
  </si>
  <si>
    <t>RAMIREZ DE LA ROSA</t>
  </si>
  <si>
    <t>00201307592</t>
  </si>
  <si>
    <t>ANA LLASIDES</t>
  </si>
  <si>
    <t>RAMIREZ GARCIA</t>
  </si>
  <si>
    <t>00116238718</t>
  </si>
  <si>
    <t>MARTHA VANESSA</t>
  </si>
  <si>
    <t>RAMOS</t>
  </si>
  <si>
    <t>40221178284</t>
  </si>
  <si>
    <t>RAFAELINA</t>
  </si>
  <si>
    <t>REYES</t>
  </si>
  <si>
    <t>40224248910</t>
  </si>
  <si>
    <t>YULEISY</t>
  </si>
  <si>
    <t>REYES ADAMES</t>
  </si>
  <si>
    <t>09300149565</t>
  </si>
  <si>
    <t>OCTAVIA</t>
  </si>
  <si>
    <t>REYES DE LOS SANTOS</t>
  </si>
  <si>
    <t>05401174924</t>
  </si>
  <si>
    <t>LEURY RAFAEL</t>
  </si>
  <si>
    <t>REYES GARCIA</t>
  </si>
  <si>
    <t>02301493991</t>
  </si>
  <si>
    <t>WANDA ELIZABETH</t>
  </si>
  <si>
    <t>REYES POLANCO</t>
  </si>
  <si>
    <t>00117454496</t>
  </si>
  <si>
    <t>ZORAYHA</t>
  </si>
  <si>
    <t>REYES SANTOS</t>
  </si>
  <si>
    <t>RIVERA CAMPUSANO</t>
  </si>
  <si>
    <t>40224433645</t>
  </si>
  <si>
    <t>JHOMAYI</t>
  </si>
  <si>
    <t>RIVERA HICHEZ</t>
  </si>
  <si>
    <t>00119206308</t>
  </si>
  <si>
    <t>ANA SAMILKYS</t>
  </si>
  <si>
    <t>RIVERA MINAYA</t>
  </si>
  <si>
    <t>02301666885</t>
  </si>
  <si>
    <t>YANELKIS YOCAIRI</t>
  </si>
  <si>
    <t>RODRIGUEZ</t>
  </si>
  <si>
    <t>22301419978</t>
  </si>
  <si>
    <t>JUDITH MERCEDES</t>
  </si>
  <si>
    <t>RODRIGUEZ DE LEON</t>
  </si>
  <si>
    <t>00114957236</t>
  </si>
  <si>
    <t>JANNY NOEMI</t>
  </si>
  <si>
    <t>RODRIGUEZ FERNANDEZ</t>
  </si>
  <si>
    <t>00116111311</t>
  </si>
  <si>
    <t>FELA MARIA</t>
  </si>
  <si>
    <t>RODRIGUEZ REGALADO</t>
  </si>
  <si>
    <t>05601128308</t>
  </si>
  <si>
    <t>JULIO CESAR</t>
  </si>
  <si>
    <t>RODRIGUEZ VENTURA</t>
  </si>
  <si>
    <t>04701770184</t>
  </si>
  <si>
    <t>DALMACIA RAQUEL</t>
  </si>
  <si>
    <t>ROMERO ARISMENDY</t>
  </si>
  <si>
    <t>09300675817</t>
  </si>
  <si>
    <t>ARIANNA</t>
  </si>
  <si>
    <t>ROMERO CAMPUSANO</t>
  </si>
  <si>
    <t>40213218346</t>
  </si>
  <si>
    <t>BARBARA ISMERDA</t>
  </si>
  <si>
    <t>ROMERO CASTILLO</t>
  </si>
  <si>
    <t>03103141135</t>
  </si>
  <si>
    <t>MARIA ALTAGRACIA</t>
  </si>
  <si>
    <t>ROSARIO ROSARIO</t>
  </si>
  <si>
    <t>40221896679</t>
  </si>
  <si>
    <t>YESSICA ALTAGRACIA</t>
  </si>
  <si>
    <t>00117064345</t>
  </si>
  <si>
    <t>MARLENE GUADALUPE</t>
  </si>
  <si>
    <t>ROSSO MARTE</t>
  </si>
  <si>
    <t>02601167394</t>
  </si>
  <si>
    <t>EUNICE ELIZABETH</t>
  </si>
  <si>
    <t>RUIZ MARIÑEZ</t>
  </si>
  <si>
    <t>00200437689</t>
  </si>
  <si>
    <t>MARIA LOURDES</t>
  </si>
  <si>
    <t>SABA RODRIGUEZ</t>
  </si>
  <si>
    <t>40219423056</t>
  </si>
  <si>
    <t>CHEYLA</t>
  </si>
  <si>
    <t>SALAS CARRASCO</t>
  </si>
  <si>
    <t>00103686978</t>
  </si>
  <si>
    <t>CARMEN YDALINA</t>
  </si>
  <si>
    <t>SANCHEZ ACOSTA</t>
  </si>
  <si>
    <t>22500030196</t>
  </si>
  <si>
    <t>LIVIMAR</t>
  </si>
  <si>
    <t>SANCHEZ ADAMES</t>
  </si>
  <si>
    <t>00201397288</t>
  </si>
  <si>
    <t>NELCY ALEJANDRA</t>
  </si>
  <si>
    <t>SANCHEZ CASANOVA</t>
  </si>
  <si>
    <t>04900829039</t>
  </si>
  <si>
    <t>ERIDANIA</t>
  </si>
  <si>
    <t>SANCHEZ CRUZ</t>
  </si>
  <si>
    <t>00110650157</t>
  </si>
  <si>
    <t>MARIA ELENA</t>
  </si>
  <si>
    <t>SANCHEZ HERRERA</t>
  </si>
  <si>
    <t>40220120808</t>
  </si>
  <si>
    <t>SANCHEZ ROSARIO</t>
  </si>
  <si>
    <t>00112370705</t>
  </si>
  <si>
    <t>YSABEL</t>
  </si>
  <si>
    <t>SANCHEZ VALDEZ</t>
  </si>
  <si>
    <t>00119134047</t>
  </si>
  <si>
    <t>YOCAIRA MAGNOLIA</t>
  </si>
  <si>
    <t>SANTANA GONZALEZ</t>
  </si>
  <si>
    <t>02301007502</t>
  </si>
  <si>
    <t>SANTANA LEWIS</t>
  </si>
  <si>
    <t>00104784897</t>
  </si>
  <si>
    <t>MARGARITA</t>
  </si>
  <si>
    <t>SANTANA PEREZ</t>
  </si>
  <si>
    <t>02500460221</t>
  </si>
  <si>
    <t>JULIO WASCAR</t>
  </si>
  <si>
    <t>SANTANA TAVAREZ</t>
  </si>
  <si>
    <t>40220260513</t>
  </si>
  <si>
    <t>LUCIA</t>
  </si>
  <si>
    <t>SANTOS NICACIO</t>
  </si>
  <si>
    <t>22500242601</t>
  </si>
  <si>
    <t>DAISY ESTHER</t>
  </si>
  <si>
    <t>SIERRA PAREDES</t>
  </si>
  <si>
    <t>00106303738</t>
  </si>
  <si>
    <t>FERNANDA</t>
  </si>
  <si>
    <t>SORIANO ALCANTARA</t>
  </si>
  <si>
    <t>40221226596</t>
  </si>
  <si>
    <t>LICELOT</t>
  </si>
  <si>
    <t>SORIANO CASTRO</t>
  </si>
  <si>
    <t>02301338410</t>
  </si>
  <si>
    <t>ELISABETH DESIRE</t>
  </si>
  <si>
    <t>SOSA JIMENEZ</t>
  </si>
  <si>
    <t>02301467409</t>
  </si>
  <si>
    <t>CORINA</t>
  </si>
  <si>
    <t>SOSA RIVERA</t>
  </si>
  <si>
    <t>22500383314</t>
  </si>
  <si>
    <t>ANAYA PAMELA</t>
  </si>
  <si>
    <t>SOTO GUZMAN</t>
  </si>
  <si>
    <t>09300521292</t>
  </si>
  <si>
    <t>CLAUDIA YSABEL</t>
  </si>
  <si>
    <t>SUERO CAMPUSANO</t>
  </si>
  <si>
    <t>00114181043</t>
  </si>
  <si>
    <t>MARIA IVELISSE</t>
  </si>
  <si>
    <t>SUGILIO RINCON</t>
  </si>
  <si>
    <t>40222123248</t>
  </si>
  <si>
    <t>SURIEL DEL JESUS</t>
  </si>
  <si>
    <t>22600105039</t>
  </si>
  <si>
    <t>LOURDES YOOVANNA</t>
  </si>
  <si>
    <t>TAPIA RAMIREZ</t>
  </si>
  <si>
    <t>NEYDY MERIAM</t>
  </si>
  <si>
    <t>TOLEDO MORILLO</t>
  </si>
  <si>
    <t>40228421893</t>
  </si>
  <si>
    <t>STARLIN</t>
  </si>
  <si>
    <t>VALDEZ NERO</t>
  </si>
  <si>
    <t>02300276504</t>
  </si>
  <si>
    <t>MIRTLE ANIBETT</t>
  </si>
  <si>
    <t>VALERA BARINAS</t>
  </si>
  <si>
    <t>40221664796</t>
  </si>
  <si>
    <t>JULIA YANETH</t>
  </si>
  <si>
    <t>VARGAS MENDEZ</t>
  </si>
  <si>
    <t>00114132111</t>
  </si>
  <si>
    <t>MERCEDES ELIZABETH</t>
  </si>
  <si>
    <t>VASQUEZ</t>
  </si>
  <si>
    <t>06100255543</t>
  </si>
  <si>
    <t>YENI</t>
  </si>
  <si>
    <t>VASQUEZ MENA</t>
  </si>
  <si>
    <t>04900786080</t>
  </si>
  <si>
    <t>FRANCIA YAZMIN</t>
  </si>
  <si>
    <t>VILLA MENDOZA</t>
  </si>
  <si>
    <t>09300651834</t>
  </si>
  <si>
    <t>PATRICIA</t>
  </si>
  <si>
    <t>VILLANUEVA CAMPUSANO</t>
  </si>
  <si>
    <t>02300514102</t>
  </si>
  <si>
    <t>TEODORA</t>
  </si>
  <si>
    <t>WEL VILORIO</t>
  </si>
  <si>
    <t>01200871661</t>
  </si>
  <si>
    <t>MAYERLIN</t>
  </si>
  <si>
    <t>ZABALA GARCIA</t>
  </si>
  <si>
    <t>00115681157</t>
  </si>
  <si>
    <t>YESSENIA</t>
  </si>
  <si>
    <t>ABREU DE LA ROSA</t>
  </si>
  <si>
    <t>RAIDELINA</t>
  </si>
  <si>
    <t>00115935637</t>
  </si>
  <si>
    <t>OGANDO PINEDA</t>
  </si>
  <si>
    <t>YEILIN LICELOT</t>
  </si>
  <si>
    <t>GUERRA HERNANDEZ</t>
  </si>
  <si>
    <t xml:space="preserve"> DE LOS SANTOS RODRIGUEZ</t>
  </si>
  <si>
    <t>ELIZABETH ACEVEDO</t>
  </si>
  <si>
    <t>NOELIA ADAMES BATISTA</t>
  </si>
  <si>
    <t>ELEANA EVELIN ADRIAN HERNANDEZ</t>
  </si>
  <si>
    <t>ENICI RAQUEL AGRAMONTE DE OLEO</t>
  </si>
  <si>
    <t>MARIA ESTHER ALBERTO JAVIER</t>
  </si>
  <si>
    <t>LUZ MARIA ALBURQUERQUE RAMIREZ</t>
  </si>
  <si>
    <t>ESTHER ALCANTARA DE ROA</t>
  </si>
  <si>
    <t>DIGNORA ALCANTARA GARCIA</t>
  </si>
  <si>
    <t>FRANCIS ALCANTARA NOVA</t>
  </si>
  <si>
    <t>MERCEDES BIENVENIDA ALCANTARA SUERO</t>
  </si>
  <si>
    <t>RUTH ANGELINA ALVAREZ ALVAREZ</t>
  </si>
  <si>
    <t>ZULEIKA MARLENY AMADOR AMADOR</t>
  </si>
  <si>
    <t>BELGICA ISANIA AMADOR RODRIGUEZ</t>
  </si>
  <si>
    <t>JUDITH MARGARITA ASENCIO SOLANO</t>
  </si>
  <si>
    <t>MIREYA BAEZ DIAZ</t>
  </si>
  <si>
    <t>SCARLET ONDINA BAEZ DIPRE</t>
  </si>
  <si>
    <t>BRENDA MAYRENI BAEZ ESTEVEZ</t>
  </si>
  <si>
    <t>VANESSA DE LOS ANGELES BENITEZ GARCIA</t>
  </si>
  <si>
    <t>NATHANAEL BRITO</t>
  </si>
  <si>
    <t>ANA MERCEDES CABREJA BAEZ</t>
  </si>
  <si>
    <t>GISELLE ALTAGRACIA CAPELLAN PAULINO</t>
  </si>
  <si>
    <t>FARA CRISTAL CARRASCO DE LA CRUZ</t>
  </si>
  <si>
    <t>PATRICIA EMILIA CASTILLO FERNANDEZ</t>
  </si>
  <si>
    <t>JOENKEN CASTILLO PADILLA</t>
  </si>
  <si>
    <t>CATHERINE LILIANA CASTRO MARTINEZ</t>
  </si>
  <si>
    <t>NIURCA ELIZABETH CEDANO DE LOS SANTOS</t>
  </si>
  <si>
    <t>DAMEL ELIZABETH CEDEÑO CRUZ</t>
  </si>
  <si>
    <t>LUISA MARIA CORDERO DE CORPORAN</t>
  </si>
  <si>
    <t>MARINO ANTONIO CORONADO HERNANDEZ</t>
  </si>
  <si>
    <t>MIGUELINA DE JESUS DE LA CRUZ</t>
  </si>
  <si>
    <t>MARIA DE LOS ANGELES JORGE</t>
  </si>
  <si>
    <t>LUCITANIA DE LOS SANTOS DURAN</t>
  </si>
  <si>
    <t>YENIFER GARDENIA DE LOS SANTOS MANZUETA</t>
  </si>
  <si>
    <t>CLARA ANDREA DIAZ GARCIA</t>
  </si>
  <si>
    <t>FANNY DIAZ RAMIREZ</t>
  </si>
  <si>
    <t>MELISSA MIGUELINA DOÑE DE LEON</t>
  </si>
  <si>
    <t>MARGARITA ALTAGRACIA EDUARDS</t>
  </si>
  <si>
    <t>JANETH ENCARNACION ROSARIO</t>
  </si>
  <si>
    <t>ALTAGRACIA ESPINAL DE LA CRUZ</t>
  </si>
  <si>
    <t>ENYI JOSE ESTEVEZ ABREU</t>
  </si>
  <si>
    <t>MARIA MERCEDES FELIZ SANTANA</t>
  </si>
  <si>
    <t>RAUL FERMIN</t>
  </si>
  <si>
    <t>DAMARIS MARIA FERMIN ANGELES</t>
  </si>
  <si>
    <t>SCARLYNG ALBANESSA FERNANDEZ POLANCO</t>
  </si>
  <si>
    <t>CINTHIA ELIZABETH FERRERA RIVERA</t>
  </si>
  <si>
    <t>ANGELA EMILIA FERRERAS DOTEL</t>
  </si>
  <si>
    <t>MILKA YUDELKA FRANCO CUELLO</t>
  </si>
  <si>
    <t>ANA NELLY FRANCO PEÑA</t>
  </si>
  <si>
    <t>GREICY GARCIA COCA</t>
  </si>
  <si>
    <t>ZUNILDA GARCIA MARTE</t>
  </si>
  <si>
    <t>GLENNY GERMANIA GARCIA PIANTINI</t>
  </si>
  <si>
    <t>MALLERLYN GIL VERAS</t>
  </si>
  <si>
    <t>LUDYS FRANCINA GOMEZ MONTERO</t>
  </si>
  <si>
    <t>LISBETH GONZALEZ VARGAS</t>
  </si>
  <si>
    <t>ROSANNA MARIA GORIS PAYANO</t>
  </si>
  <si>
    <t>YOKAIDY YESENIA GUERRERO MEJIA</t>
  </si>
  <si>
    <t>EDITH MARGARITA GUERRERO MENA</t>
  </si>
  <si>
    <t>ODALIS MERCEDES GUILLANDEAUX CLARK</t>
  </si>
  <si>
    <t>YENIFER GUZMAN MEJIA</t>
  </si>
  <si>
    <t>JARONNY HERNANDEZ CUELLO</t>
  </si>
  <si>
    <t>ELIZABETH HERRERA ORTEGA</t>
  </si>
  <si>
    <t>DIGNA HERRERA TIFA</t>
  </si>
  <si>
    <t>JUANA EMILIA HICHEZ DE LA CRUZ</t>
  </si>
  <si>
    <t>ANA ISA HILARIO ORTIZ</t>
  </si>
  <si>
    <t>CHANELLY CRISTINA HUGGINS RAMIREZ</t>
  </si>
  <si>
    <t>KAREN STEFANY JIMENEZ</t>
  </si>
  <si>
    <t>AGUSTIN LAHOZ EMILIANO</t>
  </si>
  <si>
    <t>RAYMER LUISA LEWIS MARTINEZ</t>
  </si>
  <si>
    <t>KIARA LEONELA LOPEZ DIAZ</t>
  </si>
  <si>
    <t>CARMEN MARIA LORENZO CANDELARIO</t>
  </si>
  <si>
    <t>YOCAIRA LUCIANO LUCIANO</t>
  </si>
  <si>
    <t>ESTHER VANESSA LUGO CARLOT</t>
  </si>
  <si>
    <t>ALEXANDER LUGO GALICE</t>
  </si>
  <si>
    <t>ELISANNY JAZMIN LUGO JAVIER</t>
  </si>
  <si>
    <t>PETRA MARIA MAMBRU MANZANILLO</t>
  </si>
  <si>
    <t>LIDIANA ELIZABETH MARIÑEZ TORIBIO</t>
  </si>
  <si>
    <t>JAROLIN LUCERO MARTE ROSA</t>
  </si>
  <si>
    <t>RICHINA MARGARITA MARTINEZ REYES</t>
  </si>
  <si>
    <t>DANIRIS MARTINEZ VILLALONA</t>
  </si>
  <si>
    <t>DANIELA MATEO LEBRON</t>
  </si>
  <si>
    <t>HUBERT MATOS FELIZ</t>
  </si>
  <si>
    <t>YULISA MATOS NUÑEZ</t>
  </si>
  <si>
    <t>HERLYT MATOS ZABALA</t>
  </si>
  <si>
    <t>KENIA ALTGRACIA MEDINA PUELLO</t>
  </si>
  <si>
    <t>TUPAC MEJIA</t>
  </si>
  <si>
    <t>JUANA MEJIA DE LOS SANTOS</t>
  </si>
  <si>
    <t>MILAGROS GISSELLE MEJIA SOTO</t>
  </si>
  <si>
    <t>JOSE MIGUEL MENDOZA BAEZ</t>
  </si>
  <si>
    <t>MANUELA MISTEL FELIPE</t>
  </si>
  <si>
    <t>JOHANNY MOJICA GARCES</t>
  </si>
  <si>
    <t>MARIA MONTERO ADAMES</t>
  </si>
  <si>
    <t>VIATNESA MONTERO OGANDO</t>
  </si>
  <si>
    <t>MADELYN FERNANDA MONTERO ROSARIO</t>
  </si>
  <si>
    <t>LORENZA MARIA MORDAN BAEZ</t>
  </si>
  <si>
    <t>ESTEPHANIE MICHELLE MORONTA</t>
  </si>
  <si>
    <t>KENIA MARIA MOSQUEA MOSQUEA</t>
  </si>
  <si>
    <t>GABRIELA MARIA NAVARRO RAMIREZ</t>
  </si>
  <si>
    <t>SOFHIE STEFANIA NICASIO BURGOS</t>
  </si>
  <si>
    <t>SANDRA RAQUEL NUÑEZ DE LA CRUZ</t>
  </si>
  <si>
    <t>CARMEN ISABEL NUÑEZ HERRA</t>
  </si>
  <si>
    <t>ANYELA MARIA OLIVARES MENCIA</t>
  </si>
  <si>
    <t>LUZ VANESSA ORTEGA CEDANO</t>
  </si>
  <si>
    <t>PAMELA ORTEGA SANTANA</t>
  </si>
  <si>
    <t>LENIN ARCADIO ORTIZ PEREYRA</t>
  </si>
  <si>
    <t>MELISSA PEGUERO GONZALEZ</t>
  </si>
  <si>
    <t>ESMERALDA PEGUERO MAÑON</t>
  </si>
  <si>
    <t>GINA ESTHER PEÑA CARRION</t>
  </si>
  <si>
    <t>VIANELIS GISEL PEREZ AQUINO</t>
  </si>
  <si>
    <t>BLENNY ALEXANDRA PEREZ BERIGUETE</t>
  </si>
  <si>
    <t>HECTOR MANUEL PEREZ DIAZ</t>
  </si>
  <si>
    <t>SANTA ADELAIDA PEREZ MATEO</t>
  </si>
  <si>
    <t>NEURY JOSEFINA PEREZ REYES</t>
  </si>
  <si>
    <t>TOMASINA PIMENTEL MORENO</t>
  </si>
  <si>
    <t>KAREN RAQUEL PIMENTEL RODRIGUEZ</t>
  </si>
  <si>
    <t>CELIANY POL DOLSI</t>
  </si>
  <si>
    <t>DENIA MARIBEL POLANCO RODRIGUEZ</t>
  </si>
  <si>
    <t>ELIZABETH POLANCO SARIT</t>
  </si>
  <si>
    <t>JUANA TRINIDAD PUJOLS DIAZ</t>
  </si>
  <si>
    <t>WENDY QUEVEDO BERIHUETE</t>
  </si>
  <si>
    <t>MABEL ESTELA QUEVEDO GONZALEZ</t>
  </si>
  <si>
    <t>RUTH ESTEPHANY QUEZADA VASQUEZ</t>
  </si>
  <si>
    <t>CHEILA ESTEPHANIE RAMIREZ BRENS</t>
  </si>
  <si>
    <t>MASSIEL RAMIREZ DE LA ROSA</t>
  </si>
  <si>
    <t>ANA LLASIDES RAMIREZ GARCIA</t>
  </si>
  <si>
    <t>MARTHA VANESSA RAMOS</t>
  </si>
  <si>
    <t>RAFAELINA REYES</t>
  </si>
  <si>
    <t>YULEISY REYES ADAMES</t>
  </si>
  <si>
    <t>OCTAVIA REYES DE LOS SANTOS</t>
  </si>
  <si>
    <t>LEURY RAFAEL REYES GARCIA</t>
  </si>
  <si>
    <t>WANDA ELIZABETH REYES POLANCO</t>
  </si>
  <si>
    <t>ZORAYHA REYES SANTOS</t>
  </si>
  <si>
    <t>DILENIA RIVERA CAMPUSANO</t>
  </si>
  <si>
    <t>JHOMAYI RIVERA HICHEZ</t>
  </si>
  <si>
    <t>ANA SAMILKYS RIVERA MINAYA</t>
  </si>
  <si>
    <t>YANELKIS YOCAIRI RODRIGUEZ</t>
  </si>
  <si>
    <t>JUDITH MERCEDES RODRIGUEZ DE LEON</t>
  </si>
  <si>
    <t>JANNY NOEMI RODRIGUEZ FERNANDEZ</t>
  </si>
  <si>
    <t>FELA MARIA RODRIGUEZ REGALADO</t>
  </si>
  <si>
    <t>JULIO CESAR RODRIGUEZ VENTURA</t>
  </si>
  <si>
    <t>DALMACIA RAQUEL ROMERO ARISMENDY</t>
  </si>
  <si>
    <t>ARIANNA ROMERO CAMPUSANO</t>
  </si>
  <si>
    <t>BARBARA ISMERDA ROMERO CASTILLO</t>
  </si>
  <si>
    <t>MARIA ALTAGRACIA ROSARIO ROSARIO</t>
  </si>
  <si>
    <t>YESSICA ALTAGRACIA ROSARIO ROSARIO</t>
  </si>
  <si>
    <t>MARLENE GUADALUPE ROSSO MARTE</t>
  </si>
  <si>
    <t>EUNICE ELIZABETH RUIZ MARIÑEZ</t>
  </si>
  <si>
    <t>MARIA LOURDES SABA RODRIGUEZ</t>
  </si>
  <si>
    <t>CHEYLA SALAS CARRASCO</t>
  </si>
  <si>
    <t>CARMEN YDALINA SANCHEZ ACOSTA</t>
  </si>
  <si>
    <t>LIVIMAR SANCHEZ ADAMES</t>
  </si>
  <si>
    <t>NELCY ALEJANDRA SANCHEZ CASANOVA</t>
  </si>
  <si>
    <t>ERIDANIA SANCHEZ CRUZ</t>
  </si>
  <si>
    <t>MARIA ELENA SANCHEZ HERRERA</t>
  </si>
  <si>
    <t>ANGELA MARIA SANCHEZ ROSARIO</t>
  </si>
  <si>
    <t>YSABEL SANCHEZ VALDEZ</t>
  </si>
  <si>
    <t>YOCAIRA MAGNOLIA SANTANA GONZALEZ</t>
  </si>
  <si>
    <t>ELIZABETH SANTANA LEWIS</t>
  </si>
  <si>
    <t>MARGARITA SANTANA PEREZ</t>
  </si>
  <si>
    <t>JULIO WASCAR SANTANA TAVAREZ</t>
  </si>
  <si>
    <t>LUCIA SANTOS NICACIO</t>
  </si>
  <si>
    <t>DAISY ESTHER SIERRA PAREDES</t>
  </si>
  <si>
    <t>FERNANDA SORIANO ALCANTARA</t>
  </si>
  <si>
    <t>LICELOT SORIANO CASTRO</t>
  </si>
  <si>
    <t>ELISABETH DESIRE SOSA JIMENEZ</t>
  </si>
  <si>
    <t>CORINA SOSA RIVERA</t>
  </si>
  <si>
    <t>ANAYA PAMELA SOTO GUZMAN</t>
  </si>
  <si>
    <t>CLAUDIA YSABEL SUERO CAMPUSANO</t>
  </si>
  <si>
    <t>MARIA IVELISSE SUGILIO RINCON</t>
  </si>
  <si>
    <t>KATHERINE SURIEL DEL JESUS</t>
  </si>
  <si>
    <t>LOURDES YOOVANNA TAPIA RAMIREZ</t>
  </si>
  <si>
    <t>NEYDY MERIAM TOLEDO MORILLO</t>
  </si>
  <si>
    <t>STARLIN VALDEZ NERO</t>
  </si>
  <si>
    <t>MIRTLE ANIBETT VALERA BARINAS</t>
  </si>
  <si>
    <t>JULIA YANETH VARGAS MENDEZ</t>
  </si>
  <si>
    <t>MERCEDES ELIZABETH VASQUEZ</t>
  </si>
  <si>
    <t>YENI VASQUEZ MENA</t>
  </si>
  <si>
    <t>FRANCIA YAZMIN VILLA MENDOZA</t>
  </si>
  <si>
    <t>PATRICIA VILLANUEVA CAMPUSANO</t>
  </si>
  <si>
    <t>TEODORA WEL VILORIO</t>
  </si>
  <si>
    <t>MAYERLIN ZABALA GARCIA</t>
  </si>
  <si>
    <t>YESSENIA ABREU DE LA ROSA</t>
  </si>
  <si>
    <t>RAIDELINA CUEVAS SEGURA</t>
  </si>
  <si>
    <t>MIGUELINA OGANDO PINEDA</t>
  </si>
  <si>
    <t>YEILIN LICELOT JAVIER ROJAS</t>
  </si>
  <si>
    <t>THELMA ANGELICA GUERRA HERNANDEZ</t>
  </si>
  <si>
    <t>ALBA IRIS  DE LOS SANTOS RODRIGUEZ</t>
  </si>
  <si>
    <t>FLORANGE CAMPUSANO</t>
  </si>
  <si>
    <t>ADVENSUS - SAN MARTIN</t>
  </si>
  <si>
    <t>CONCEPTOS</t>
  </si>
  <si>
    <t>ENTRENAMIENTO</t>
  </si>
  <si>
    <t>FERIADO</t>
  </si>
  <si>
    <t>INASISTENCIA</t>
  </si>
  <si>
    <t>LICENCIA MEDICA</t>
  </si>
  <si>
    <t>PERMISO</t>
  </si>
  <si>
    <t>PERMISO POR DEFUNCION</t>
  </si>
  <si>
    <t>SERVICIO PUNTUAL</t>
  </si>
  <si>
    <t xml:space="preserve">VACACIONES </t>
  </si>
  <si>
    <t>MOVIMIENTO</t>
  </si>
  <si>
    <t>SERVICIOS ADICIONALES</t>
  </si>
  <si>
    <t>MES DE COBERTURA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</si>
  <si>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</si>
  <si>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</si>
  <si>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</si>
  <si>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</si>
  <si>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</si>
  <si>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</si>
  <si>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</si>
  <si>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</si>
  <si>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</si>
  <si>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</si>
  <si>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</si>
  <si>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</si>
  <si>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</si>
  <si>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CEDULA DEL PERSONAL CUBIERTO</t>
  </si>
  <si>
    <t>HORAS ADICIONALES</t>
  </si>
  <si>
    <t>CEDULA DEL BACKUP</t>
  </si>
  <si>
    <t xml:space="preserve">1-LOS CAMPOS EN VERDE TIENEN FORMULAS, FAVOR NO TOCAR. </t>
  </si>
  <si>
    <t>CONSIDERAR</t>
  </si>
  <si>
    <t>2-LOS CAMPOS EN NARANJA TIENEN LISTAS DESPLEGABLES.</t>
  </si>
  <si>
    <t>3-LOS ENCABEZADOS CON UNA ESQUINA COLOR ROJO TIENEN UNA NOTA DE AYUDA.</t>
  </si>
  <si>
    <t>BACKUP</t>
  </si>
  <si>
    <t>Title</t>
  </si>
  <si>
    <t>ID_Localidad</t>
  </si>
  <si>
    <t>Supervisor_Correo</t>
  </si>
  <si>
    <t>Hanes Brand - Planta Las Americas</t>
  </si>
  <si>
    <t>99</t>
  </si>
  <si>
    <t>yrodriguez@ser-salud.com</t>
  </si>
  <si>
    <t>sites/admdm/PowerApps/Lists/ADMDM_Localidad_Supervisor</t>
  </si>
  <si>
    <t>Grupo Familia - Planta San Cristobal</t>
  </si>
  <si>
    <t>98</t>
  </si>
  <si>
    <t>fcampusano@ser-salud.com</t>
  </si>
  <si>
    <t>GM - Planta ZILI</t>
  </si>
  <si>
    <t>97</t>
  </si>
  <si>
    <t>lbonilla@ser-salud.com</t>
  </si>
  <si>
    <t>GM - Planta PID</t>
  </si>
  <si>
    <t>96</t>
  </si>
  <si>
    <t>GM - Planta Malecón</t>
  </si>
  <si>
    <t>95</t>
  </si>
  <si>
    <t>Gildan SPM - Planta 2</t>
  </si>
  <si>
    <t>94</t>
  </si>
  <si>
    <t>dpadilla@ser-salud.com</t>
  </si>
  <si>
    <t>Gildan SPM - Planta 1</t>
  </si>
  <si>
    <t>93</t>
  </si>
  <si>
    <t>Gildan Las Américas 1 - Planta 2</t>
  </si>
  <si>
    <t>92</t>
  </si>
  <si>
    <t>Gildan Las Américas 1 - Planta 1</t>
  </si>
  <si>
    <t>91</t>
  </si>
  <si>
    <t>Fenix Manufacturing - SPM 2</t>
  </si>
  <si>
    <t>90</t>
  </si>
  <si>
    <t>Argos - Planta Concretos Las Américas</t>
  </si>
  <si>
    <t>rmartinez@ser-salud.com</t>
  </si>
  <si>
    <t>Fenix Manufacturing - SPM 1</t>
  </si>
  <si>
    <t>89</t>
  </si>
  <si>
    <t>EGH - Planta Sultana del Este</t>
  </si>
  <si>
    <t>88</t>
  </si>
  <si>
    <t>zpena@ser-salud.com</t>
  </si>
  <si>
    <t>EGH - Planta Quisqueya</t>
  </si>
  <si>
    <t>87</t>
  </si>
  <si>
    <t>wwilliams@ser-salud.com</t>
  </si>
  <si>
    <t>EGH - Planta Barahona Carbón</t>
  </si>
  <si>
    <t>86</t>
  </si>
  <si>
    <t>zpeña@ser-salud.com</t>
  </si>
  <si>
    <t>Eaton - Planta 2 - PIISA</t>
  </si>
  <si>
    <t>85</t>
  </si>
  <si>
    <t>Eaton - Planta 1 - PIISA</t>
  </si>
  <si>
    <t>84</t>
  </si>
  <si>
    <t>Colgate - Administrativo</t>
  </si>
  <si>
    <t>83</t>
  </si>
  <si>
    <t>CND - Planta Independencia</t>
  </si>
  <si>
    <t>82</t>
  </si>
  <si>
    <t>CND - Planta Hato Nuevo</t>
  </si>
  <si>
    <t>81</t>
  </si>
  <si>
    <t>80</t>
  </si>
  <si>
    <t>pnorori@ser-salud.com</t>
  </si>
  <si>
    <t>Argos - Planta Concretos Jacobo Majluta</t>
  </si>
  <si>
    <t>8</t>
  </si>
  <si>
    <t>79</t>
  </si>
  <si>
    <t>78</t>
  </si>
  <si>
    <t>77</t>
  </si>
  <si>
    <t>CND - CDD - Puerto Plata</t>
  </si>
  <si>
    <t>76</t>
  </si>
  <si>
    <t>CND - CDD - Margen Oriental</t>
  </si>
  <si>
    <t>75</t>
  </si>
  <si>
    <t>fguillamo@ser-salud.com</t>
  </si>
  <si>
    <t>CND - CDD - Mao</t>
  </si>
  <si>
    <t>74</t>
  </si>
  <si>
    <t>CND - CDD - Bohemia</t>
  </si>
  <si>
    <t>73</t>
  </si>
  <si>
    <t>CND - CDD - Bávaro</t>
  </si>
  <si>
    <t>72</t>
  </si>
  <si>
    <t>CND - CDD - Azua</t>
  </si>
  <si>
    <t>71</t>
  </si>
  <si>
    <t>CAC Barahona</t>
  </si>
  <si>
    <t>70</t>
  </si>
  <si>
    <t>Argos - Planta Cemento San Cristóbal</t>
  </si>
  <si>
    <t>Altice - Torre Núñez</t>
  </si>
  <si>
    <t>67</t>
  </si>
  <si>
    <t>Altice - Torre Herrera</t>
  </si>
  <si>
    <t>66</t>
  </si>
  <si>
    <t>Advensus - San Martin</t>
  </si>
  <si>
    <t>65</t>
  </si>
  <si>
    <t>Tonka Zona Franca San Isidro</t>
  </si>
  <si>
    <t>64</t>
  </si>
  <si>
    <t>Smurfit Kappa - Villas Agricolas</t>
  </si>
  <si>
    <t>62</t>
  </si>
  <si>
    <t>Sigma Alimentos - Santo Domingo</t>
  </si>
  <si>
    <t>61</t>
  </si>
  <si>
    <t>Sigma Alimentos - Santiago</t>
  </si>
  <si>
    <t>60</t>
  </si>
  <si>
    <t>Ser Salud - SS_SPM</t>
  </si>
  <si>
    <t>58</t>
  </si>
  <si>
    <t>dmolligan@ser-salud.com</t>
  </si>
  <si>
    <t>Ser Salud - SS_PA</t>
  </si>
  <si>
    <t>57</t>
  </si>
  <si>
    <t>osoto@ser-salud.com</t>
  </si>
  <si>
    <t>Scotiabank - Wiston Churchill</t>
  </si>
  <si>
    <t>56</t>
  </si>
  <si>
    <t>Scotiabank - Kennedy</t>
  </si>
  <si>
    <t>54</t>
  </si>
  <si>
    <t>Pepsico - Santiago</t>
  </si>
  <si>
    <t>52</t>
  </si>
  <si>
    <t>Pepsico - San Isidro</t>
  </si>
  <si>
    <t>51</t>
  </si>
  <si>
    <t>Pepsico - Las Caobas</t>
  </si>
  <si>
    <t>50</t>
  </si>
  <si>
    <t>Air Liquide - Haina</t>
  </si>
  <si>
    <t>5</t>
  </si>
  <si>
    <t>Opitel - Mella</t>
  </si>
  <si>
    <t>49</t>
  </si>
  <si>
    <t>Opitel - Herrera</t>
  </si>
  <si>
    <t>48</t>
  </si>
  <si>
    <t>Opitel - Hainamosa</t>
  </si>
  <si>
    <t>47</t>
  </si>
  <si>
    <t>Opitel - 27 de Febrero</t>
  </si>
  <si>
    <t>46</t>
  </si>
  <si>
    <t>MercaSID - Planta Máximo Gómez</t>
  </si>
  <si>
    <t>44</t>
  </si>
  <si>
    <t>Importadora La Plaza - Santiago</t>
  </si>
  <si>
    <t>43</t>
  </si>
  <si>
    <t>Hotel Now Onyx - Uvero Alto</t>
  </si>
  <si>
    <t>42</t>
  </si>
  <si>
    <t>4</t>
  </si>
  <si>
    <t>Gildan Guerra - Planta Dortex</t>
  </si>
  <si>
    <t>39</t>
  </si>
  <si>
    <t>Fabrica Colchonería La Nacional</t>
  </si>
  <si>
    <t>38</t>
  </si>
  <si>
    <t>Edwards Lifesciences - PIISA</t>
  </si>
  <si>
    <t>34</t>
  </si>
  <si>
    <t>igonzalez@ser-salud.com</t>
  </si>
  <si>
    <t>EDEESTE - La Romana - Los Multi</t>
  </si>
  <si>
    <t>33</t>
  </si>
  <si>
    <t>EcoLab - Planta Las Americas</t>
  </si>
  <si>
    <t>32</t>
  </si>
  <si>
    <t>DP World Caucedo</t>
  </si>
  <si>
    <t>31</t>
  </si>
  <si>
    <t>DC - Planta COASIS - Haina</t>
  </si>
  <si>
    <t>30</t>
  </si>
  <si>
    <t>3</t>
  </si>
  <si>
    <t>Conduent - Zona Franca San Isidro</t>
  </si>
  <si>
    <t>29</t>
  </si>
  <si>
    <t>Colgate - Planta Marañón</t>
  </si>
  <si>
    <t>28</t>
  </si>
  <si>
    <t>CEPM - BAVARO - ADMINISTRATIVO</t>
  </si>
  <si>
    <t>26</t>
  </si>
  <si>
    <t>Cardinal - Las Americas</t>
  </si>
  <si>
    <t>25</t>
  </si>
  <si>
    <t>CAEI - Ingenio La Finca</t>
  </si>
  <si>
    <t>24</t>
  </si>
  <si>
    <t>CAEI - Ingenio Cristóbal Colon</t>
  </si>
  <si>
    <t>23</t>
  </si>
  <si>
    <t>CAEI - Ingenio Cayacoa</t>
  </si>
  <si>
    <t>22</t>
  </si>
  <si>
    <t>CAEI - Ingenio Angelina</t>
  </si>
  <si>
    <t>21</t>
  </si>
  <si>
    <t>AES - Andres</t>
  </si>
  <si>
    <t>Avon - Planta Haina</t>
  </si>
  <si>
    <t>15</t>
  </si>
  <si>
    <t>ARS Humano - Zona Norte - Santiago</t>
  </si>
  <si>
    <t>13</t>
  </si>
  <si>
    <t>Scotiabank - San Martin</t>
  </si>
  <si>
    <t>123</t>
  </si>
  <si>
    <t>122</t>
  </si>
  <si>
    <t>121</t>
  </si>
  <si>
    <t>Fenwal Internacional - PIISA</t>
  </si>
  <si>
    <t>120</t>
  </si>
  <si>
    <t>ALNAP - La Esperilla</t>
  </si>
  <si>
    <t>117</t>
  </si>
  <si>
    <t>116</t>
  </si>
  <si>
    <t>Ser Salud - Paraiso - Capacitacion 1</t>
  </si>
  <si>
    <t>114</t>
  </si>
  <si>
    <t>Sigma Alimentos - La Romana</t>
  </si>
  <si>
    <t>111</t>
  </si>
  <si>
    <t>Rockwell - Zona Franca Las Americas</t>
  </si>
  <si>
    <t>110</t>
  </si>
  <si>
    <t>ARS Humano - Lope De Vega</t>
  </si>
  <si>
    <t>Terpel - AILA</t>
  </si>
  <si>
    <t>107</t>
  </si>
  <si>
    <t>Scotiabank - GBS Las Americas</t>
  </si>
  <si>
    <t>106</t>
  </si>
  <si>
    <t>Produraduria - La Feria</t>
  </si>
  <si>
    <t>105</t>
  </si>
  <si>
    <t>Pinturas Popular - Planta Herrera</t>
  </si>
  <si>
    <t>104</t>
  </si>
  <si>
    <t>Pepsico - Fritolay PID</t>
  </si>
  <si>
    <t>103</t>
  </si>
  <si>
    <t>M&amp;T - Zona Franca La Vega</t>
  </si>
  <si>
    <t>102</t>
  </si>
  <si>
    <t>Hotel Majestic - Bávaro</t>
  </si>
  <si>
    <t>101</t>
  </si>
  <si>
    <t>Hotel Embajador</t>
  </si>
  <si>
    <t>100</t>
  </si>
  <si>
    <t>AES - Acropolis</t>
  </si>
  <si>
    <t>jmolina@ser-salud.com</t>
  </si>
  <si>
    <t>Clarivic Henriquez - Contratista</t>
  </si>
  <si>
    <t>fmarmol@ser-salud.com</t>
  </si>
  <si>
    <t>Terpel - Puerto Plata</t>
  </si>
  <si>
    <t>108</t>
  </si>
  <si>
    <t>fguilamo@ser-salud.com</t>
  </si>
  <si>
    <t xml:space="preserve">Scotiabank - San Martin </t>
  </si>
  <si>
    <t>orlando soto</t>
  </si>
  <si>
    <t>FGuillamo@ser-salud.com</t>
  </si>
  <si>
    <t>F.Guillamo@ser-salud.com</t>
  </si>
  <si>
    <t>FCAMPUSANO@SER-SALUD.COM</t>
  </si>
  <si>
    <t>Ser Salud - Paraiso - Capacitacion 2</t>
  </si>
  <si>
    <t>115</t>
  </si>
  <si>
    <t>Leandro Ramirez - Operaciones</t>
  </si>
  <si>
    <t>aogando@ser-salud.com</t>
  </si>
  <si>
    <t>jgarcia@ser-salud.com</t>
  </si>
  <si>
    <t>Ccorporan@ser-salud.com</t>
  </si>
  <si>
    <t>ccorporan@ser-salud.com</t>
  </si>
  <si>
    <t>harias@ser-salud.com</t>
  </si>
  <si>
    <t>consultorprocesos@ser-salud.com</t>
  </si>
  <si>
    <t>chenriquez@ser-salud.com</t>
  </si>
  <si>
    <t>EDEESTE - La Romana - Savica</t>
  </si>
  <si>
    <t>rvasquez@ser-salud.com</t>
  </si>
  <si>
    <t>ltejada@ser-salud.com</t>
  </si>
  <si>
    <t>CAASD - Arroyo Hondo</t>
  </si>
  <si>
    <t>20</t>
  </si>
  <si>
    <t>Danay Molligan - Comercial</t>
  </si>
  <si>
    <t>Gildan Las Américas 2 - Planta 2</t>
  </si>
  <si>
    <t>Gildan Las Américas 2 - Planta 1</t>
  </si>
  <si>
    <t>privera@ser-salud.com</t>
  </si>
  <si>
    <t>almacen@ser-salud.com</t>
  </si>
  <si>
    <t>bbrito@ser-salud.com</t>
  </si>
  <si>
    <t>CREATED BY</t>
  </si>
  <si>
    <t xml:space="preserve">DAILY TIRADO </t>
  </si>
  <si>
    <t>AES - ACROPOLIS</t>
  </si>
  <si>
    <t>CAASD - ARROYO HONDO</t>
  </si>
  <si>
    <t xml:space="preserve">CLARIVIC HENRIQUEZ </t>
  </si>
  <si>
    <t>COLGATE - ADMINISTRATIVO</t>
  </si>
  <si>
    <t>EDWARDS LIFESCIENCES - PIISA</t>
  </si>
  <si>
    <t xml:space="preserve">ORLANDO SOTO </t>
  </si>
  <si>
    <t>SER SALUD - PARAISO - CAPACITACION 2</t>
  </si>
  <si>
    <t>PERMISO DE MATRIMONIO</t>
  </si>
  <si>
    <t>VACANTE</t>
  </si>
  <si>
    <t>DAYANNA E. RODRÍGUEZ C.</t>
  </si>
  <si>
    <t>FLOR FERRERAS RIVAS</t>
  </si>
  <si>
    <t>HAILYS  QUIÑONES MEDINA</t>
  </si>
  <si>
    <t>JOHANNY  MÓJICA GARCÉS</t>
  </si>
  <si>
    <t>LOURDES ORQUIDIA PADILLA ALVAREZ</t>
  </si>
  <si>
    <t xml:space="preserve">MARLENIS  MATOS </t>
  </si>
  <si>
    <t>NEYDY MERIAM  TOLEDO MORILLO</t>
  </si>
  <si>
    <t>JORNADA</t>
  </si>
  <si>
    <t>FECHA CREACION</t>
  </si>
  <si>
    <t>HORA CREACION</t>
  </si>
  <si>
    <t>MECIDO ESEA</t>
  </si>
  <si>
    <t>40208859559</t>
  </si>
  <si>
    <t>LOENNY</t>
  </si>
  <si>
    <t>SUERO</t>
  </si>
  <si>
    <t>JENNY ESTEPHANY</t>
  </si>
  <si>
    <t>REYNA CARIDAD</t>
  </si>
  <si>
    <t>40223195112</t>
  </si>
  <si>
    <t>JENNIFER GRECIA</t>
  </si>
  <si>
    <t>ORTEGA AMADOR</t>
  </si>
  <si>
    <t>Ex-Fanny Guilamo - ADMDM</t>
  </si>
  <si>
    <t>9604005781</t>
  </si>
  <si>
    <t>13548270013</t>
  </si>
  <si>
    <t>02301660318</t>
  </si>
  <si>
    <t>JAZMIN</t>
  </si>
  <si>
    <t>9602996339</t>
  </si>
  <si>
    <t>22600219376</t>
  </si>
  <si>
    <t>DOROTHY</t>
  </si>
  <si>
    <t>AVILA</t>
  </si>
  <si>
    <t>9601403780</t>
  </si>
  <si>
    <t>BOCA CHICA</t>
  </si>
  <si>
    <t>03104491208</t>
  </si>
  <si>
    <t xml:space="preserve">JORGE EDUARDO </t>
  </si>
  <si>
    <t>ESPINAL CAPELLAN</t>
  </si>
  <si>
    <t>9601079222</t>
  </si>
  <si>
    <t xml:space="preserve">SANTIAGO DE LOS CABALLEROS </t>
  </si>
  <si>
    <t>40241363692</t>
  </si>
  <si>
    <t>JULIO ANTONIO</t>
  </si>
  <si>
    <t>GUZMAN JIMENEZ</t>
  </si>
  <si>
    <t>LA AMERICAS. SANTO DOMINGO ESTE</t>
  </si>
  <si>
    <t>00112699681</t>
  </si>
  <si>
    <t>JUANA FRANCISCA</t>
  </si>
  <si>
    <t>MARTE DURAN</t>
  </si>
  <si>
    <t>LOS MAMEYES. SANTO DOMINGO ESTE</t>
  </si>
  <si>
    <t>22600232734</t>
  </si>
  <si>
    <t xml:space="preserve">NOEMI </t>
  </si>
  <si>
    <t>ARCIDE UYOA</t>
  </si>
  <si>
    <t>9604101934</t>
  </si>
  <si>
    <t>BRISAS DE ANDRES, BOCA CHICA</t>
  </si>
  <si>
    <t>09300351161</t>
  </si>
  <si>
    <t xml:space="preserve">MAIRA ISABEL </t>
  </si>
  <si>
    <t xml:space="preserve">SANTANA CESPEDES </t>
  </si>
  <si>
    <t xml:space="preserve">CHEQUE </t>
  </si>
  <si>
    <t xml:space="preserve">CRISTO REY </t>
  </si>
  <si>
    <t>JENNIFER GRECIA ORTEGA AMADOR</t>
  </si>
  <si>
    <t>JENNY ESTEPHANY BAEZ PEGUERO</t>
  </si>
  <si>
    <t>LOENNY SUERO</t>
  </si>
  <si>
    <t>MARIEL ELIZABETH GONZALEZ DE CASTRO</t>
  </si>
  <si>
    <t>REYNA CARIDAD MARTINEZ DOTEL</t>
  </si>
  <si>
    <t>YOKASTA MECIDO ESEA</t>
  </si>
  <si>
    <t>DOROTHY AVILA</t>
  </si>
  <si>
    <t>JAZMIN VASQUEZ</t>
  </si>
  <si>
    <t>JORGE EDUARDO  ESPINAL CAPELLAN</t>
  </si>
  <si>
    <t>JUANA FRANCISCA MARTE DURAN</t>
  </si>
  <si>
    <t>JULIO ANTONIO GUZMAN JIMENEZ</t>
  </si>
  <si>
    <t xml:space="preserve">MAIRA ISABEL  SANTANA CESPEDES </t>
  </si>
  <si>
    <t>NOEMI  ARCIDE UYOA</t>
  </si>
  <si>
    <t>4-LOS CAMPOS COLOR ROJO NO APLICAN.</t>
  </si>
  <si>
    <t>1001696328</t>
  </si>
  <si>
    <t>14000008582</t>
  </si>
  <si>
    <t>YOHARDRY MONICA</t>
  </si>
  <si>
    <t>MENDEZ BAUTISTA</t>
  </si>
  <si>
    <t>9603322782</t>
  </si>
  <si>
    <t>01800472233</t>
  </si>
  <si>
    <t>SONIA</t>
  </si>
  <si>
    <t>GOMEZ MEDINA</t>
  </si>
  <si>
    <t>0401255922</t>
  </si>
  <si>
    <t>BARAHONA</t>
  </si>
  <si>
    <t>SONIA GOMEZ MEDINA</t>
  </si>
  <si>
    <t>YOHARDRY MONICA MENDEZ BAUTISTA</t>
  </si>
  <si>
    <t>MONTOS NEGOCIADOS</t>
  </si>
  <si>
    <t>MANTENER HORA DE ALMUERZO</t>
  </si>
  <si>
    <t/>
  </si>
  <si>
    <t xml:space="preserve">SUGEIRY </t>
  </si>
  <si>
    <t>OTAÑEZ</t>
  </si>
  <si>
    <t>9600918971</t>
  </si>
  <si>
    <t>SUGEIRY  OTAÑEZ</t>
  </si>
  <si>
    <t>40243211048</t>
  </si>
  <si>
    <t>MERLING GRETTEL</t>
  </si>
  <si>
    <t>SALAS VILORIO</t>
  </si>
  <si>
    <t>22301343632</t>
  </si>
  <si>
    <t>FRANCIS DANAURY</t>
  </si>
  <si>
    <t>GOMEZ CARABALLO</t>
  </si>
  <si>
    <t>02200266522</t>
  </si>
  <si>
    <t>22400619361</t>
  </si>
  <si>
    <t>40243550379</t>
  </si>
  <si>
    <t xml:space="preserve">LIANABEL </t>
  </si>
  <si>
    <t>SILVESTRE</t>
  </si>
  <si>
    <t>1410031923</t>
  </si>
  <si>
    <t>40233954862</t>
  </si>
  <si>
    <t>YULEISI MERCEDES</t>
  </si>
  <si>
    <t>RINCON POLANCO</t>
  </si>
  <si>
    <t>1460596887</t>
  </si>
  <si>
    <t xml:space="preserve">WENDY </t>
  </si>
  <si>
    <t>QUEVEDO</t>
  </si>
  <si>
    <t>29214330013</t>
  </si>
  <si>
    <t>00800325698</t>
  </si>
  <si>
    <t>28394470016</t>
  </si>
  <si>
    <t>03100740004</t>
  </si>
  <si>
    <t xml:space="preserve">MARIA RAMONA </t>
  </si>
  <si>
    <t>728396995</t>
  </si>
  <si>
    <t>11500000085</t>
  </si>
  <si>
    <t>SONIA YASMIN</t>
  </si>
  <si>
    <t>OLIVERO CERDA</t>
  </si>
  <si>
    <t>1020121112</t>
  </si>
  <si>
    <t>03701181640</t>
  </si>
  <si>
    <t>ERIKA MARIA</t>
  </si>
  <si>
    <t>TAVAREZ</t>
  </si>
  <si>
    <t>9601422238</t>
  </si>
  <si>
    <t>03103433466</t>
  </si>
  <si>
    <t>LIGIA MARIBEL</t>
  </si>
  <si>
    <t>TORRES DE JAQUEZ</t>
  </si>
  <si>
    <t>733195820</t>
  </si>
  <si>
    <t>PSICOLOGO</t>
  </si>
  <si>
    <t>40225959332</t>
  </si>
  <si>
    <t xml:space="preserve">ELIZABETH ALTAGRACIA </t>
  </si>
  <si>
    <t xml:space="preserve">AYALA CARABALLO </t>
  </si>
  <si>
    <t xml:space="preserve">LA VEGA </t>
  </si>
  <si>
    <t>40223649936</t>
  </si>
  <si>
    <t xml:space="preserve">YADIRA </t>
  </si>
  <si>
    <t>SOTO MATEO</t>
  </si>
  <si>
    <t>9603847956</t>
  </si>
  <si>
    <t>CARRETERA MELLA. SAN ISIDRO</t>
  </si>
  <si>
    <t>40224481685</t>
  </si>
  <si>
    <t xml:space="preserve">YINELKY </t>
  </si>
  <si>
    <t>CAPELLAN CONTRERAS</t>
  </si>
  <si>
    <t>9601858991</t>
  </si>
  <si>
    <t>Sabana Perdida</t>
  </si>
  <si>
    <t>40214737047</t>
  </si>
  <si>
    <t>GENESIS ELIZABETH</t>
  </si>
  <si>
    <t>RODRIGUEZ FELIZ</t>
  </si>
  <si>
    <t>9603257590</t>
  </si>
  <si>
    <t>00108742214</t>
  </si>
  <si>
    <t>OLIVO</t>
  </si>
  <si>
    <t>28521760011</t>
  </si>
  <si>
    <t>VILLA FARO. CHARLES DE GAULLE</t>
  </si>
  <si>
    <t>22600140754</t>
  </si>
  <si>
    <t xml:space="preserve">ROSELY </t>
  </si>
  <si>
    <t>DE LOS SANTOS PEREZ</t>
  </si>
  <si>
    <t>803125574</t>
  </si>
  <si>
    <t>52721</t>
  </si>
  <si>
    <t>BOCA CHICA. BOCA CHICA.</t>
  </si>
  <si>
    <t>22300573528</t>
  </si>
  <si>
    <t>NURDY YANDERY</t>
  </si>
  <si>
    <t>TORRES</t>
  </si>
  <si>
    <t>1022988328</t>
  </si>
  <si>
    <t>46721</t>
  </si>
  <si>
    <t>40232607610</t>
  </si>
  <si>
    <t>PAOLA MARIA</t>
  </si>
  <si>
    <t>NAVARRO MENDEZ</t>
  </si>
  <si>
    <t>9602257047</t>
  </si>
  <si>
    <t>398</t>
  </si>
  <si>
    <t>00100897842</t>
  </si>
  <si>
    <t>LAUTERIA</t>
  </si>
  <si>
    <t>HERRERA BATISTA</t>
  </si>
  <si>
    <t>813171733</t>
  </si>
  <si>
    <t>FRANCIS DANAURY GOMEZ CARABALLO</t>
  </si>
  <si>
    <t>MERLING GRETTEL SALAS VILORIO</t>
  </si>
  <si>
    <t>DULCE MARIA OLIVO</t>
  </si>
  <si>
    <t xml:space="preserve">ELIZABETH ALTAGRACIA  AYALA CARABALLO </t>
  </si>
  <si>
    <t>ERIKA MARIA TAVAREZ</t>
  </si>
  <si>
    <t>GENESIS ELIZABETH RODRIGUEZ FELIZ</t>
  </si>
  <si>
    <t>LAUTERIA HERRERA BATISTA</t>
  </si>
  <si>
    <t>LIANABEL  SILVESTRE</t>
  </si>
  <si>
    <t>LIGIA MARIBEL TORRES DE JAQUEZ</t>
  </si>
  <si>
    <t>MARIA MORENO</t>
  </si>
  <si>
    <t>MARIA RAMONA  ACEVEDO</t>
  </si>
  <si>
    <t>NURDY YANDERY TORRES</t>
  </si>
  <si>
    <t>PAOLA MARIA NAVARRO MENDEZ</t>
  </si>
  <si>
    <t>ROSELY  DE LOS SANTOS PEREZ</t>
  </si>
  <si>
    <t>SONIA YASMIN OLIVERO CERDA</t>
  </si>
  <si>
    <t>WENDY  QUEVEDO</t>
  </si>
  <si>
    <t>YADIRA  SOTO MATEO</t>
  </si>
  <si>
    <t>YINELKY  CAPELLAN CONTRERAS</t>
  </si>
  <si>
    <t>YULEISI MERCEDES RINCON POLANCO</t>
  </si>
  <si>
    <t>LIC. LUCÍA VELOZ</t>
  </si>
  <si>
    <t>GERENTE</t>
  </si>
  <si>
    <t>RITA TIRADO</t>
  </si>
  <si>
    <t>NAIROBI CACERES MARTINEZ</t>
  </si>
  <si>
    <t>ING. BRYANT TORRES</t>
  </si>
  <si>
    <t xml:space="preserve">RAMONA BÁEZ </t>
  </si>
  <si>
    <t>IVELISSE Y JUAN PERALTA</t>
  </si>
  <si>
    <t>ING. MICHAEL VASQUEZ</t>
  </si>
  <si>
    <t>LOURDES LOPEZ</t>
  </si>
  <si>
    <t>YANNABEL SANTOS</t>
  </si>
  <si>
    <t xml:space="preserve">LIC. KAREM HOLGUIN </t>
  </si>
  <si>
    <t>ING. JUAN JOSE CAMILO</t>
  </si>
  <si>
    <t>DR. ANTONIO CUSTODIO</t>
  </si>
  <si>
    <t>ING. RICARDO BAEZ</t>
  </si>
  <si>
    <t xml:space="preserve">ING. ELIEZER MALDONADO </t>
  </si>
  <si>
    <t>YENNY CASO</t>
  </si>
  <si>
    <t>JIMMY AYBAR</t>
  </si>
  <si>
    <t>ING. JUAN RAMON MATOS</t>
  </si>
  <si>
    <t>EUDYS PACHANO</t>
  </si>
  <si>
    <t>YALENNI HERNANDEZ</t>
  </si>
  <si>
    <t>ING. DEIVIS NUÑEZ</t>
  </si>
  <si>
    <t>LUIS REINOSO</t>
  </si>
  <si>
    <t>ING. YAMEL PERALTA</t>
  </si>
  <si>
    <t xml:space="preserve">LIZ MAYELIN DE JESUS </t>
  </si>
  <si>
    <t xml:space="preserve">DIMA DE LOS SANTOS </t>
  </si>
  <si>
    <t>ING. EDWIN JESUS MARTINEZ</t>
  </si>
  <si>
    <t xml:space="preserve">DEIVI OMAR </t>
  </si>
  <si>
    <t>LEONARDO KEEN</t>
  </si>
  <si>
    <t>EDWIN ANDUJAR</t>
  </si>
  <si>
    <t>JONATAN POURIET</t>
  </si>
  <si>
    <t>LEIKA LORA</t>
  </si>
  <si>
    <t>ING. JOSE MANUEL MARTINEZ</t>
  </si>
  <si>
    <t>LIC. RADHYVELKA VILLALONA</t>
  </si>
  <si>
    <t>EVELYN MEJIA</t>
  </si>
  <si>
    <t>DELMA GONZÁLEZ</t>
  </si>
  <si>
    <t>SRA MARGARET MEJÍA</t>
  </si>
  <si>
    <t>DRA. ADRIA PUJOLS</t>
  </si>
  <si>
    <t>ING. RAHISY DE LA CRUZ</t>
  </si>
  <si>
    <t>ALICIA DOMINGUEZ</t>
  </si>
  <si>
    <t xml:space="preserve">SR. MANUEL NINA </t>
  </si>
  <si>
    <t>MAIRA MÉNDEZ</t>
  </si>
  <si>
    <t>NURYS CAMACHO</t>
  </si>
  <si>
    <t xml:space="preserve">GLENYS REYES </t>
  </si>
  <si>
    <t xml:space="preserve">PERLA FRANJUL </t>
  </si>
  <si>
    <t>MARISOL GUERRERO</t>
  </si>
  <si>
    <t>LIC. RUTH VALERIO</t>
  </si>
  <si>
    <t xml:space="preserve">FRANKLIN SALVADOR </t>
  </si>
  <si>
    <t>LUCY REYES</t>
  </si>
  <si>
    <t>LI. VERONICA CALDERON</t>
  </si>
  <si>
    <t>CELESTE JIMENEZ</t>
  </si>
  <si>
    <t>GISELLE OLEAGA</t>
  </si>
  <si>
    <t>LICDA. PAULA CONTRERAS</t>
  </si>
  <si>
    <t>PAULA CONTRERA</t>
  </si>
  <si>
    <t xml:space="preserve">MAYROBE PEÑA </t>
  </si>
  <si>
    <t>LIC. ALBA MELLA</t>
  </si>
  <si>
    <t>JENNIFER ELIZABETH PAREDES HERNANDEZ</t>
  </si>
  <si>
    <t>NOELIA JOAQUÍN</t>
  </si>
  <si>
    <t xml:space="preserve">MARÍA CRISTINA GLAS </t>
  </si>
  <si>
    <t>DORIS MILAGROS</t>
  </si>
  <si>
    <t>ROSELIS GABIN</t>
  </si>
  <si>
    <t xml:space="preserve">ARISLEIDI MORROBEL </t>
  </si>
  <si>
    <t>ROBERT GIL</t>
  </si>
  <si>
    <t>HAROLDO CRUZ ERICKSON</t>
  </si>
  <si>
    <t>ING. ELIECER GARCIA</t>
  </si>
  <si>
    <t>ROBERT ALMONTE</t>
  </si>
  <si>
    <t>CONTACTO CLIENTE</t>
  </si>
  <si>
    <t>CARGO</t>
  </si>
  <si>
    <t>Ex-Reina Martinez - ADMDM</t>
  </si>
  <si>
    <t>PABEL DE JESUS</t>
  </si>
  <si>
    <t>PEREZ MALDONADO</t>
  </si>
  <si>
    <t>1260197434</t>
  </si>
  <si>
    <t>40211359043</t>
  </si>
  <si>
    <t>VIRGINIA</t>
  </si>
  <si>
    <t>9603092737</t>
  </si>
  <si>
    <t>40223553856</t>
  </si>
  <si>
    <t>ZUGELLY</t>
  </si>
  <si>
    <t>0822481420</t>
  </si>
  <si>
    <t>PABEL DE JESUS PEREZ MALDONADO</t>
  </si>
  <si>
    <t>VIRGINIA MEJIA</t>
  </si>
  <si>
    <t>ZUGELLY JIMENEZ</t>
  </si>
  <si>
    <t>ORLANDO SOTO</t>
  </si>
  <si>
    <t>01400207112</t>
  </si>
  <si>
    <t>BERENICE</t>
  </si>
  <si>
    <t>9603531224</t>
  </si>
  <si>
    <t>01001107463</t>
  </si>
  <si>
    <t>YADARIS CAROLINA</t>
  </si>
  <si>
    <t>401522875</t>
  </si>
  <si>
    <t>CREATED</t>
  </si>
  <si>
    <t>ALBA IRIS FLORENTINO</t>
  </si>
  <si>
    <t>BERENICE ENCARNACION</t>
  </si>
  <si>
    <t>CARMEN ISABEL NUNEZ</t>
  </si>
  <si>
    <t>YADARIS CAROLINA RAMIREZ GARCIA</t>
  </si>
  <si>
    <t>13800039698</t>
  </si>
  <si>
    <t>YOSA</t>
  </si>
  <si>
    <t>MISTEL JAVIER</t>
  </si>
  <si>
    <t>AMPARO LAUREANO</t>
  </si>
  <si>
    <t>YOSA MISTEL JAVIER</t>
  </si>
  <si>
    <t>FOUL</t>
  </si>
  <si>
    <t>DIA INCORRECTO</t>
  </si>
  <si>
    <t>FALTÓ MARCAR COMO FACTURA</t>
  </si>
  <si>
    <t>FALTA LA EVIDENCIA DE LUGAR</t>
  </si>
  <si>
    <t>CONCEPTO INCORRECTO</t>
  </si>
  <si>
    <t>NO SEPARÓ LOS FINES DE SEMANA</t>
  </si>
  <si>
    <t>HORARIO INCORRECTO</t>
  </si>
  <si>
    <t>REPORTADO FUERA DE FECHA</t>
  </si>
  <si>
    <t>ERRORES</t>
  </si>
  <si>
    <t>40220453357</t>
  </si>
  <si>
    <t>LUSIGENY</t>
  </si>
  <si>
    <t>VALLEJO URIBE</t>
  </si>
  <si>
    <t>MORENO DE LOS SANTOS</t>
  </si>
  <si>
    <t>ADAMES CUEVAS</t>
  </si>
  <si>
    <t>03104765320</t>
  </si>
  <si>
    <t>ELEANA CAROLINA ADAMES CUEVAS</t>
  </si>
  <si>
    <t>LUSIGENY VALLEJO URIBE</t>
  </si>
  <si>
    <t>MARIA MORENO DE LOS SANTOS</t>
  </si>
  <si>
    <t>SI</t>
  </si>
  <si>
    <t>NO</t>
  </si>
  <si>
    <t>12</t>
  </si>
  <si>
    <t>10,11,12,13</t>
  </si>
  <si>
    <t>5,9</t>
  </si>
  <si>
    <t>8,9,10,11,12,15</t>
  </si>
  <si>
    <t>NEGOCIACION ACORDADA Y AUTORIZADA POR LA DRA. JOSELYN DIAZ  DE 1000 PESOS POR SERVICIO NOCTURNO</t>
  </si>
  <si>
    <t>NEGOCIACION ACORDADA Y AUTORIZADA POR LA DRA. JOSELYN DIAZ DE 1000 PESOS POR SERVICIO NOCTURNO</t>
  </si>
  <si>
    <t>6</t>
  </si>
  <si>
    <t xml:space="preserve"> DRA. YOCAIRA SE ASENTO POR SINTOMAS DE COVID PARA REALIZARSE LA PCR QUE SALIO NEGATIVO.</t>
  </si>
  <si>
    <t>11/15/2021</t>
  </si>
  <si>
    <t>17:43</t>
  </si>
  <si>
    <t>1,8,9</t>
  </si>
  <si>
    <t>6,7</t>
  </si>
  <si>
    <t>1,2,5,10,12,8</t>
  </si>
  <si>
    <t>30,31</t>
  </si>
  <si>
    <t>11/16/2021</t>
  </si>
  <si>
    <t>14:08</t>
  </si>
  <si>
    <t>14:10</t>
  </si>
  <si>
    <t>AUTORIZADA POR LA DRA. JOSELYN DIAZ</t>
  </si>
  <si>
    <t>14:15</t>
  </si>
  <si>
    <t>13,14,15,16</t>
  </si>
  <si>
    <t>3,4,9,11,15,16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</si>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</sst>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[$-10409]hh:mm\ AM/PM;@"/>
    <numFmt numFmtId="166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49" fontId="0" fillId="0" borderId="0" xfId="0" applyNumberFormat="1"/>
    <xf numFmtId="3" fontId="0" fillId="0" borderId="0" xfId="0" applyNumberFormat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49" fontId="1" fillId="0" borderId="0" xfId="0" applyNumberFormat="1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wrapText="1"/>
    </xf>
    <xf numFmtId="0" fontId="0" fillId="4" borderId="7" xfId="0" applyFill="1" applyBorder="1" applyAlignment="1" applyProtection="1">
      <alignment horizontal="center" wrapText="1"/>
    </xf>
    <xf numFmtId="0" fontId="0" fillId="4" borderId="1" xfId="0" applyFill="1" applyBorder="1" applyAlignment="1" applyProtection="1">
      <alignment horizontal="center" wrapText="1"/>
    </xf>
    <xf numFmtId="0" fontId="0" fillId="4" borderId="4" xfId="0" applyFill="1" applyBorder="1" applyAlignment="1" applyProtection="1">
      <alignment horizontal="center" wrapText="1"/>
    </xf>
    <xf numFmtId="2" fontId="0" fillId="4" borderId="1" xfId="0" applyNumberFormat="1" applyFill="1" applyBorder="1" applyAlignment="1" applyProtection="1">
      <alignment horizontal="center" wrapText="1"/>
    </xf>
    <xf numFmtId="164" fontId="0" fillId="4" borderId="1" xfId="1" applyFont="1" applyFill="1" applyBorder="1" applyAlignment="1" applyProtection="1">
      <alignment horizontal="center" wrapText="1"/>
    </xf>
    <xf numFmtId="0" fontId="0" fillId="4" borderId="1" xfId="0" applyNumberFormat="1" applyFill="1" applyBorder="1" applyAlignment="1" applyProtection="1">
      <alignment horizontal="center" wrapText="1"/>
    </xf>
    <xf numFmtId="0" fontId="0" fillId="4" borderId="4" xfId="0" applyNumberFormat="1" applyFill="1" applyBorder="1" applyAlignment="1" applyProtection="1">
      <alignment horizontal="center" wrapText="1"/>
    </xf>
    <xf numFmtId="2" fontId="0" fillId="4" borderId="4" xfId="0" applyNumberFormat="1" applyFill="1" applyBorder="1" applyAlignment="1" applyProtection="1">
      <alignment horizontal="center" wrapText="1"/>
    </xf>
    <xf numFmtId="164" fontId="0" fillId="4" borderId="4" xfId="1" applyFont="1" applyFill="1" applyBorder="1" applyAlignment="1" applyProtection="1">
      <alignment horizontal="center" wrapText="1"/>
    </xf>
    <xf numFmtId="164" fontId="0" fillId="0" borderId="1" xfId="1" applyFont="1" applyFill="1" applyBorder="1" applyAlignment="1" applyProtection="1">
      <alignment horizontal="center" wrapText="1"/>
      <protection locked="0"/>
    </xf>
    <xf numFmtId="0" fontId="0" fillId="4" borderId="5" xfId="0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4" borderId="2" xfId="0" applyFill="1" applyBorder="1" applyAlignment="1" applyProtection="1">
      <alignment horizontal="center" vertical="center" wrapText="1"/>
    </xf>
    <xf numFmtId="0" fontId="0" fillId="3" borderId="2" xfId="0" applyFill="1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49" fontId="0" fillId="0" borderId="2" xfId="0" applyNumberFormat="1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49" fontId="0" fillId="5" borderId="1" xfId="0" applyNumberFormat="1" applyFill="1" applyBorder="1" applyAlignment="1" applyProtection="1">
      <alignment horizontal="center" wrapText="1"/>
      <protection locked="0"/>
    </xf>
    <xf numFmtId="49" fontId="0" fillId="5" borderId="4" xfId="0" applyNumberFormat="1" applyFill="1" applyBorder="1" applyAlignment="1" applyProtection="1">
      <alignment horizontal="center" wrapText="1"/>
      <protection locked="0"/>
    </xf>
    <xf numFmtId="49" fontId="0" fillId="6" borderId="0" xfId="0" applyNumberFormat="1" applyFill="1" applyAlignment="1" applyProtection="1">
      <alignment horizontal="center"/>
      <protection locked="0"/>
    </xf>
    <xf numFmtId="49" fontId="0" fillId="6" borderId="1" xfId="0" applyNumberFormat="1" applyFill="1" applyBorder="1" applyAlignment="1" applyProtection="1">
      <alignment horizontal="center" wrapText="1"/>
      <protection locked="0"/>
    </xf>
    <xf numFmtId="49" fontId="0" fillId="6" borderId="4" xfId="0" applyNumberFormat="1" applyFill="1" applyBorder="1" applyAlignment="1" applyProtection="1">
      <alignment horizontal="center" wrapText="1"/>
      <protection locked="0"/>
    </xf>
    <xf numFmtId="165" fontId="0" fillId="6" borderId="1" xfId="0" applyNumberFormat="1" applyFill="1" applyBorder="1" applyAlignment="1" applyProtection="1">
      <alignment horizontal="center" wrapText="1"/>
      <protection locked="0"/>
    </xf>
    <xf numFmtId="165" fontId="0" fillId="6" borderId="4" xfId="0" applyNumberFormat="1" applyFill="1" applyBorder="1" applyAlignment="1" applyProtection="1">
      <alignment horizontal="center" wrapText="1"/>
      <protection locked="0"/>
    </xf>
    <xf numFmtId="0" fontId="10" fillId="4" borderId="0" xfId="0" applyFont="1" applyFill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1" fillId="5" borderId="0" xfId="0" applyFont="1" applyFill="1"/>
    <xf numFmtId="0" fontId="0" fillId="5" borderId="0" xfId="0" applyFill="1"/>
    <xf numFmtId="0" fontId="0" fillId="0" borderId="1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1" fillId="7" borderId="0" xfId="0" applyFont="1" applyFill="1"/>
    <xf numFmtId="0" fontId="0" fillId="7" borderId="0" xfId="0" applyFill="1"/>
    <xf numFmtId="49" fontId="0" fillId="4" borderId="2" xfId="0" applyNumberFormat="1" applyFill="1" applyBorder="1" applyAlignment="1" applyProtection="1">
      <alignment horizontal="center" wrapText="1"/>
      <protection locked="0"/>
    </xf>
    <xf numFmtId="49" fontId="0" fillId="4" borderId="1" xfId="0" applyNumberFormat="1" applyFill="1" applyBorder="1" applyAlignment="1" applyProtection="1">
      <alignment horizontal="center" wrapText="1"/>
      <protection locked="0"/>
    </xf>
    <xf numFmtId="49" fontId="0" fillId="4" borderId="4" xfId="0" applyNumberFormat="1" applyFill="1" applyBorder="1" applyAlignment="1" applyProtection="1">
      <alignment horizontal="center" wrapText="1"/>
      <protection locked="0"/>
    </xf>
    <xf numFmtId="49" fontId="0" fillId="0" borderId="0" xfId="0" applyNumberFormat="1" applyAlignment="1"/>
    <xf numFmtId="0" fontId="0" fillId="0" borderId="2" xfId="0" applyFill="1" applyBorder="1" applyAlignment="1" applyProtection="1">
      <alignment horizontal="center" vertical="center" wrapText="1"/>
    </xf>
    <xf numFmtId="164" fontId="0" fillId="0" borderId="1" xfId="0" applyNumberFormat="1" applyFill="1" applyBorder="1" applyAlignment="1" applyProtection="1">
      <alignment horizontal="center" wrapText="1"/>
      <protection locked="0"/>
    </xf>
    <xf numFmtId="166" fontId="0" fillId="0" borderId="0" xfId="0" applyNumberFormat="1"/>
    <xf numFmtId="0" fontId="0" fillId="0" borderId="1" xfId="0" applyNumberFormat="1" applyBorder="1" applyAlignment="1" applyProtection="1">
      <alignment horizontal="center" wrapText="1"/>
    </xf>
    <xf numFmtId="164" fontId="0" fillId="0" borderId="1" xfId="1" applyNumberFormat="1" applyFont="1" applyFill="1" applyBorder="1" applyAlignment="1" applyProtection="1">
      <alignment horizontal="center" wrapText="1"/>
      <protection locked="0"/>
    </xf>
    <xf numFmtId="164" fontId="0" fillId="4" borderId="1" xfId="1" applyNumberFormat="1" applyFont="1" applyFill="1" applyBorder="1" applyAlignment="1" applyProtection="1">
      <alignment horizontal="center" wrapText="1"/>
    </xf>
    <xf numFmtId="0" fontId="0" fillId="0" borderId="4" xfId="0" applyNumberFormat="1" applyBorder="1" applyAlignment="1" applyProtection="1">
      <alignment horizontal="center" wrapText="1"/>
    </xf>
    <xf numFmtId="164" fontId="0" fillId="0" borderId="4" xfId="0" applyNumberFormat="1" applyFill="1" applyBorder="1" applyAlignment="1" applyProtection="1">
      <alignment horizontal="center" wrapText="1"/>
      <protection locked="0"/>
    </xf>
    <xf numFmtId="164" fontId="0" fillId="0" borderId="4" xfId="1" applyNumberFormat="1" applyFont="1" applyFill="1" applyBorder="1" applyAlignment="1" applyProtection="1">
      <alignment horizontal="center" wrapText="1"/>
      <protection locked="0"/>
    </xf>
    <xf numFmtId="164" fontId="0" fillId="4" borderId="4" xfId="1" applyNumberFormat="1" applyFont="1" applyFill="1" applyBorder="1" applyAlignment="1" applyProtection="1">
      <alignment horizontal="center" wrapText="1"/>
    </xf>
    <xf numFmtId="14" fontId="0" fillId="4" borderId="2" xfId="0" applyNumberFormat="1" applyFill="1" applyBorder="1" applyAlignment="1" applyProtection="1">
      <alignment horizontal="center" vertical="center" wrapText="1"/>
    </xf>
    <xf numFmtId="20" fontId="0" fillId="4" borderId="2" xfId="0" applyNumberForma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/>
    </xf>
    <xf numFmtId="14" fontId="1" fillId="0" borderId="0" xfId="0" applyNumberFormat="1" applyFont="1" applyAlignment="1" applyProtection="1">
      <alignment vertical="center"/>
    </xf>
    <xf numFmtId="20" fontId="1" fillId="0" borderId="0" xfId="0" applyNumberFormat="1" applyFont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0" fillId="0" borderId="0" xfId="0" applyFill="1" applyProtection="1"/>
    <xf numFmtId="0" fontId="9" fillId="0" borderId="0" xfId="0" applyFont="1" applyFill="1" applyProtection="1"/>
    <xf numFmtId="0" fontId="0" fillId="4" borderId="1" xfId="0" applyNumberFormat="1" applyFill="1" applyBorder="1" applyAlignment="1" applyProtection="1">
      <alignment horizontal="center"/>
    </xf>
    <xf numFmtId="0" fontId="0" fillId="4" borderId="4" xfId="0" applyNumberFormat="1" applyFill="1" applyBorder="1" applyAlignment="1" applyProtection="1">
      <alignment horizontal="center"/>
    </xf>
    <xf numFmtId="49" fontId="0" fillId="6" borderId="1" xfId="0" applyNumberFormat="1" applyFill="1" applyBorder="1" applyAlignment="1" applyProtection="1">
      <alignment horizontal="center"/>
      <protection locked="0"/>
    </xf>
    <xf numFmtId="49" fontId="0" fillId="6" borderId="4" xfId="0" applyNumberFormat="1" applyFill="1" applyBorder="1" applyAlignment="1" applyProtection="1">
      <alignment horizontal="center"/>
      <protection locked="0"/>
    </xf>
    <xf numFmtId="164" fontId="0" fillId="4" borderId="1" xfId="1" applyFont="1" applyFill="1" applyBorder="1" applyAlignment="1" applyProtection="1">
      <alignment horizontal="center"/>
    </xf>
    <xf numFmtId="164" fontId="0" fillId="4" borderId="4" xfId="1" applyFont="1" applyFill="1" applyBorder="1" applyAlignment="1" applyProtection="1">
      <alignment horizontal="center"/>
    </xf>
    <xf numFmtId="164" fontId="0" fillId="4" borderId="1" xfId="1" applyNumberFormat="1" applyFont="1" applyFill="1" applyBorder="1" applyAlignment="1" applyProtection="1">
      <alignment horizontal="center"/>
    </xf>
    <xf numFmtId="164" fontId="0" fillId="4" borderId="4" xfId="1" applyNumberFormat="1" applyFont="1" applyFill="1" applyBorder="1" applyAlignment="1" applyProtection="1">
      <alignment horizontal="center"/>
    </xf>
    <xf numFmtId="2" fontId="0" fillId="5" borderId="1" xfId="0" applyNumberFormat="1" applyFill="1" applyBorder="1" applyAlignment="1" applyProtection="1">
      <alignment horizontal="center"/>
      <protection locked="0"/>
    </xf>
    <xf numFmtId="2" fontId="0" fillId="5" borderId="4" xfId="0" applyNumberFormat="1" applyFill="1" applyBorder="1" applyAlignment="1" applyProtection="1">
      <alignment horizont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0" fillId="5" borderId="4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 wrapText="1"/>
    </xf>
    <xf numFmtId="49" fontId="0" fillId="6" borderId="1" xfId="0" applyNumberFormat="1" applyFill="1" applyBorder="1" applyAlignment="1" applyProtection="1">
      <alignment horizontal="left"/>
      <protection locked="0"/>
    </xf>
    <xf numFmtId="0" fontId="1" fillId="4" borderId="0" xfId="0" applyFont="1" applyFill="1" applyAlignment="1">
      <alignment horizontal="left"/>
    </xf>
    <xf numFmtId="49" fontId="11" fillId="8" borderId="8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45"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167" formatCode="dd/mm/yyyy\ hh:mm"/>
    </dxf>
    <dxf>
      <numFmt numFmtId="167" formatCode="dd/mm/yyyy\ hh:mm"/>
    </dxf>
    <dxf>
      <numFmt numFmtId="30" formatCode="@"/>
    </dxf>
    <dxf>
      <numFmt numFmtId="30" formatCode="@"/>
    </dxf>
    <dxf>
      <numFmt numFmtId="168" formatCode="dd/mm/yyyy"/>
    </dxf>
    <dxf>
      <numFmt numFmtId="0" formatCode="General"/>
    </dxf>
    <dxf>
      <numFmt numFmtId="30" formatCode="@"/>
      <alignment horizontal="general" vertical="bottom" textRotation="0" wrapText="0" indent="0" justifyLastLine="0" shrinkToFit="0" readingOrder="0"/>
    </dxf>
    <dxf>
      <numFmt numFmtId="3" formatCode="#,##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30" formatCode="@"/>
    </dxf>
    <dxf>
      <numFmt numFmtId="167" formatCode="dd/mm/yyyy\ hh:mm"/>
    </dxf>
    <dxf>
      <numFmt numFmtId="167" formatCode="dd/mm/yyyy\ hh:mm"/>
    </dxf>
    <dxf>
      <numFmt numFmtId="1" formatCode="0"/>
    </dxf>
    <dxf>
      <numFmt numFmtId="3" formatCode="#,##0"/>
    </dxf>
    <dxf>
      <numFmt numFmtId="168" formatCode="dd/mm/yyyy"/>
    </dxf>
    <dxf>
      <numFmt numFmtId="3" formatCode="#,##0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68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167" formatCode="dd/mm/yyyy\ hh:mm"/>
    </dxf>
    <dxf>
      <numFmt numFmtId="30" formatCode="@"/>
    </dxf>
    <dxf>
      <numFmt numFmtId="167" formatCode="dd/mm/yyyy\ hh:mm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" formatCode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dd/mm/yyyy\ h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66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68" formatCode="dd/mm/yyyy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$&quot;* #,##0.00_-;\-&quot;$&quot;* #,##0.00_-;_-&quot;$&quot;* &quot;-&quot;??_-;_-@_-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_-&quot;$&quot;* #,##0.00_-;\-&quot;$&quot;* #,##0.00_-;_-&quot;$&quot;* &quot;-&quot;??_-;_-@_-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[$-10409]hh:mm\ AM/PM;@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[$-10409]hh:mm\ AM/PM;@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00000000-0016-0000-0300-000000000000}" autoFormatId="16" applyNumberFormats="0" applyBorderFormats="0" applyFontFormats="0" applyPatternFormats="0" applyAlignmentFormats="0" applyWidthHeightFormats="0">
  <queryTableRefresh nextId="13">
    <queryTableFields count="11">
      <queryTableField id="1" name="CEDULA" tableColumnId="1"/>
      <queryTableField id="2" name="NOMBRE COMPLETO" tableColumnId="2"/>
      <queryTableField id="3" name="TELEFONO" tableColumnId="3"/>
      <queryTableField id="4" name="TIPO_SERVICIO_PERSONAL" tableColumnId="4"/>
      <queryTableField id="5" name="TIPO_PERSONAL_EXTERNO" tableColumnId="5"/>
      <queryTableField id="6" name="METODO_DE_PAGO" tableColumnId="6"/>
      <queryTableField id="7" name="BANCO" tableColumnId="7"/>
      <queryTableField id="8" name="TIPO_CUENTA" tableColumnId="8"/>
      <queryTableField id="9" name="NUMERO_DE_CUENTA" tableColumnId="9"/>
      <queryTableField id="10" name="ESTADO" tableColumnId="10"/>
      <queryTableField id="11" name="FECHA_INICIO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00000000-0016-0000-0400-000001000000}" autoFormatId="16" applyNumberFormats="0" applyBorderFormats="0" applyFontFormats="0" applyPatternFormats="0" applyAlignmentFormats="0" applyWidthHeightFormats="0">
  <queryTableRefresh nextId="42">
    <queryTableFields count="38">
      <queryTableField id="1" name="FECHA CREACION" tableColumnId="1"/>
      <queryTableField id="2" name="HORA CREACION" tableColumnId="2"/>
      <queryTableField id="39" name="ID" tableColumnId="3"/>
      <queryTableField id="4" name="SUPERVISOR ENCARGADO" tableColumnId="4"/>
      <queryTableField id="5" name="CEDULA DEL BACKUP" tableColumnId="5"/>
      <queryTableField id="6" name="NOMBRE DEL PERSONAL QUE CUBRE" tableColumnId="6"/>
      <queryTableField id="7" name="TELEFONO" tableColumnId="7"/>
      <queryTableField id="8" name="BANCO" tableColumnId="8"/>
      <queryTableField id="9" name="TIPO DE CUENTA" tableColumnId="9"/>
      <queryTableField id="10" name="NUMERO DE CUENTA" tableColumnId="10"/>
      <queryTableField id="11" name="TIPO DE PERSONAL" tableColumnId="11"/>
      <queryTableField id="12" name="DATOS DEL BACKUP" tableColumnId="12"/>
      <queryTableField id="13" name="CONCEPTO" tableColumnId="13"/>
      <queryTableField id="14" name="LOCALIDAD" tableColumnId="14"/>
      <queryTableField id="15" name="NOMBRE DEL PERSONAL CUBIERTO" tableColumnId="15"/>
      <queryTableField id="16" name="CEDULA DEL PERSONAL CUBIERTO" tableColumnId="16"/>
      <queryTableField id="17" name="H. ENTRADA" tableColumnId="17"/>
      <queryTableField id="18" name="H. SALIDA" tableColumnId="18"/>
      <queryTableField id="19" name="DIAS DE COBERTURA" tableColumnId="19"/>
      <queryTableField id="20" name="MES DE COBERTURA" tableColumnId="20"/>
      <queryTableField id="21" name="CANTIDAD DE SERVICIOS A CUBRIR" tableColumnId="21"/>
      <queryTableField id="22" name="HORAS CUBIERTAS" tableColumnId="22"/>
      <queryTableField id="23" name="MANTENER HORA DE ALMUERZO" tableColumnId="23"/>
      <queryTableField id="24" name="MONTOS NEGOCIADOS" tableColumnId="24"/>
      <queryTableField id="26" name="OTROS PAGOS" tableColumnId="26"/>
      <queryTableField id="25" name="COSTO TARIFARIO " tableColumnId="25"/>
      <queryTableField id="27" name="SUBTOTAL SERVICIO" tableColumnId="27"/>
      <queryTableField id="28" name="COSTO CON (0.90)" tableColumnId="28"/>
      <queryTableField id="29" name="COSTO DEL (0.10)" tableColumnId="29"/>
      <queryTableField id="30" name="MONTO A PAGAR" tableColumnId="30"/>
      <queryTableField id="31" name="DINERO" tableColumnId="31"/>
      <queryTableField id="32" name="COMENTARIOS ADICIONALES" tableColumnId="32"/>
      <queryTableField id="33" name="FACTURACION" tableColumnId="33"/>
      <queryTableField id="34" name="NOTA DE FACTURACION" tableColumnId="34"/>
      <queryTableField id="35" name="NOMBRE DEL SOLICITANTE" tableColumnId="35"/>
      <queryTableField id="36" name="CARGO DEL SOLICITANTE" tableColumnId="36"/>
      <queryTableField id="37" name="TELEFONO DEL SOLICITANTE" tableColumnId="37"/>
      <queryTableField id="41" name="FOUL" tableColumnId="3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00000000-0016-0000-0500-000002000000}" autoFormatId="16" applyNumberFormats="0" applyBorderFormats="0" applyFontFormats="0" applyPatternFormats="0" applyAlignmentFormats="0" applyWidthHeightFormats="0">
  <queryTableRefresh nextId="9">
    <queryTableFields count="6">
      <queryTableField id="1" name="LOCALIDADES" tableColumnId="1"/>
      <queryTableField id="2" name="ID_Localidad" tableColumnId="2"/>
      <queryTableField id="6" dataBound="0" tableColumnId="6"/>
      <queryTableField id="5" dataBound="0" tableColumnId="5"/>
      <queryTableField id="7" name="CREATED" tableColumnId="3"/>
      <queryTableField id="4" name="CREATED BY" tableColumnId="4"/>
    </queryTableFields>
    <queryTableDeletedFields count="1">
      <deletedField name="CREATED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CALIDADES_1" backgroundRefresh="0" connectionId="7" xr16:uid="{00000000-0016-0000-0600-000003000000}" autoFormatId="16" applyNumberFormats="0" applyBorderFormats="0" applyFontFormats="0" applyPatternFormats="0" applyAlignmentFormats="0" applyWidthHeightFormats="0">
  <queryTableRefresh nextId="11">
    <queryTableFields count="10">
      <queryTableField id="4" name="ID" tableColumnId="1"/>
      <queryTableField id="1" name="Title" tableColumnId="2"/>
      <queryTableField id="2" name="ID_Localidad" tableColumnId="3"/>
      <queryTableField id="3" name="Supervisor_Correo" tableColumnId="4"/>
      <queryTableField id="6" name="Created" tableColumnId="5"/>
      <queryTableField id="7" name="Created By" tableColumnId="6"/>
      <queryTableField id="5" name="Modified" tableColumnId="7"/>
      <queryTableField id="8" name="Modified By" tableColumnId="8"/>
      <queryTableField id="10" name="Item Type" tableColumnId="9"/>
      <queryTableField id="9" name="Path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00000000-0016-0000-0700-000004000000}" autoFormatId="16" applyNumberFormats="0" applyBorderFormats="0" applyFontFormats="0" applyPatternFormats="0" applyAlignmentFormats="0" applyWidthHeightFormats="0">
  <queryTableRefresh nextId="8">
    <queryTableFields count="6">
      <queryTableField id="1" name="CEDULA" tableColumnId="1"/>
      <queryTableField id="2" name="NOMBRE COMPLETO" tableColumnId="2"/>
      <queryTableField id="3" name="TELEFONO" tableColumnId="3"/>
      <queryTableField id="4" name="TIPO_DE_PERSONAL" tableColumnId="4"/>
      <queryTableField id="6" name="FECHA DE INGRESO" tableColumnId="6"/>
      <queryTableField id="7" name="ESTADO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JOS" backgroundRefresh="0" connectionId="6" xr16:uid="{00000000-0016-0000-0800-000005000000}" autoFormatId="16" applyNumberFormats="0" applyBorderFormats="0" applyFontFormats="0" applyPatternFormats="0" applyAlignmentFormats="0" applyWidthHeightFormats="0">
  <queryTableRefresh nextId="17">
    <queryTableFields count="16">
      <queryTableField id="2" name="CEDULA" tableColumnId="1"/>
      <queryTableField id="9" name="NOMBRES" tableColumnId="2"/>
      <queryTableField id="10" name="APELLIDOS" tableColumnId="3"/>
      <queryTableField id="11" name="TIPO_DE_PERSONAL" tableColumnId="4"/>
      <queryTableField id="13" name="EXEQUATUR" tableColumnId="5"/>
      <queryTableField id="14" name="FECHA DE INGRESO" tableColumnId="6"/>
      <queryTableField id="12" name="TELEFONO" tableColumnId="7"/>
      <queryTableField id="1" name="ID" tableColumnId="8"/>
      <queryTableField id="3" name="Modified" tableColumnId="9"/>
      <queryTableField id="4" name="Created" tableColumnId="10"/>
      <queryTableField id="5" name="Created By" tableColumnId="11"/>
      <queryTableField id="6" name="Modified By" tableColumnId="12"/>
      <queryTableField id="15" name="ESTADO" tableColumnId="13"/>
      <queryTableField id="16" name="LOCALIDAD" tableColumnId="14"/>
      <queryTableField id="8" name="Item Type" tableColumnId="15"/>
      <queryTableField id="7" name="Path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CKUP" backgroundRefresh="0" connectionId="1" xr16:uid="{00000000-0016-0000-0900-000006000000}" autoFormatId="16" applyNumberFormats="0" applyBorderFormats="0" applyFontFormats="0" applyPatternFormats="0" applyAlignmentFormats="0" applyWidthHeightFormats="0">
  <queryTableRefresh nextId="22">
    <queryTableFields count="21">
      <queryTableField id="1" name="CEDULA" tableColumnId="1"/>
      <queryTableField id="8" name="NOMBRES" tableColumnId="2"/>
      <queryTableField id="9" name="APELLIDOS" tableColumnId="3"/>
      <queryTableField id="10" name="METODO_DE_PAGO" tableColumnId="4"/>
      <queryTableField id="11" name="BANCO" tableColumnId="5"/>
      <queryTableField id="12" name="TIPO_CUENTA" tableColumnId="6"/>
      <queryTableField id="13" name="NUMERO_DE_CUENTA" tableColumnId="7"/>
      <queryTableField id="14" name="EXEQUATUR" tableColumnId="8"/>
      <queryTableField id="15" name="TELEFONO" tableColumnId="9"/>
      <queryTableField id="16" name="CORREO_ELECTRONICO" tableColumnId="10"/>
      <queryTableField id="18" name="ESTADO" tableColumnId="11"/>
      <queryTableField id="19" name="FECHA_INICIO" tableColumnId="12"/>
      <queryTableField id="20" name="TIPO_PERSONAL_EXTERNO" tableColumnId="13"/>
      <queryTableField id="21" name="TIPO_SERVICIO_PERSONAL" tableColumnId="14"/>
      <queryTableField id="2" name="Modified" tableColumnId="15"/>
      <queryTableField id="3" name="Created" tableColumnId="16"/>
      <queryTableField id="4" name="Created By" tableColumnId="17"/>
      <queryTableField id="5" name="Modified By" tableColumnId="18"/>
      <queryTableField id="17" name="DIRECCION_RESIDENCIA" tableColumnId="19"/>
      <queryTableField id="7" name="Item Type" tableColumnId="20"/>
      <queryTableField id="6" name="Path" tableColumnId="2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:AL33" totalsRowShown="0" headerRowDxfId="144" dataDxfId="142" headerRowBorderDxfId="143" tableBorderDxfId="141" totalsRowBorderDxfId="140">
  <autoFilter ref="A3:AL33" xr:uid="{00000000-0009-0000-0100-000001000000}"/>
  <tableColumns count="38">
    <tableColumn id="16" xr3:uid="{00000000-0010-0000-0000-000010000000}" name="FECHA CREACION" dataDxfId="139"/>
    <tableColumn id="23" xr3:uid="{00000000-0010-0000-0000-000017000000}" name="HORA CREACION" dataDxfId="138"/>
    <tableColumn id="1" xr3:uid="{00000000-0010-0000-0000-000001000000}" name="ID" dataDxfId="137">
      <calculatedColumnFormula>IF(D4="","",ROW(C1))</calculatedColumnFormula>
    </tableColumn>
    <tableColumn id="2" xr3:uid="{00000000-0010-0000-0000-000002000000}" name="SUPERVISOR ENCARGADO" dataDxfId="136"/>
    <tableColumn id="3" xr3:uid="{00000000-0010-0000-0000-000003000000}" name="CEDULA DEL BACKUP" dataDxfId="135"/>
    <tableColumn id="4" xr3:uid="{00000000-0010-0000-0000-000004000000}" name="NOMBRE DEL PERSONAL QUE CUBRE" dataDxfId="134">
      <calculatedColumnFormula>IFERROR(INDEX(CONSULTA_BACKUP[NOMBRE COMPLETO],MATCH(Tabla1[[#This Row],[CEDULA DEL BACKUP]],CONSULTA_BACKUP[CEDULA],0)),"")</calculatedColumnFormula>
    </tableColumn>
    <tableColumn id="5" xr3:uid="{00000000-0010-0000-0000-000005000000}" name="TELEFONO" dataDxfId="133">
      <calculatedColumnFormula>IFERROR(INDEX(CONSULTA_BACKUP[TELEFONO],MATCH(Tabla1[[#This Row],[CEDULA DEL BACKUP]],CONSULTA_BACKUP[CEDULA],0)),"")</calculatedColumnFormula>
    </tableColumn>
    <tableColumn id="6" xr3:uid="{00000000-0010-0000-0000-000006000000}" name="BANCO" dataDxfId="132">
      <calculatedColumnFormula>IFERROR(INDEX(CONSULTA_BACKUP[BANCO],MATCH(Tabla1[[#This Row],[CEDULA DEL BACKUP]],CONSULTA_BACKUP[CEDULA],0)),"")</calculatedColumnFormula>
    </tableColumn>
    <tableColumn id="7" xr3:uid="{00000000-0010-0000-0000-000007000000}" name="TIPO DE CUENTA" dataDxfId="131">
      <calculatedColumnFormula>IFERROR(INDEX(CONSULTA_BACKUP[TIPO_CUENTA],MATCH(Tabla1[[#This Row],[CEDULA DEL BACKUP]],CONSULTA_BACKUP[CEDULA],0)),"")</calculatedColumnFormula>
    </tableColumn>
    <tableColumn id="8" xr3:uid="{00000000-0010-0000-0000-000008000000}" name="NUMERO DE CUENTA" dataDxfId="130">
      <calculatedColumnFormula>IFERROR(INDEX(CONSULTA_BACKUP[NUMERO_DE_CUENTA],MATCH(Tabla1[[#This Row],[CEDULA DEL BACKUP]],CONSULTA_BACKUP[CEDULA],0)),"")</calculatedColumnFormula>
    </tableColumn>
    <tableColumn id="9" xr3:uid="{00000000-0010-0000-0000-000009000000}" name="TIPO DE PERSONAL" dataDxfId="129">
      <calculatedColumnFormula>IFERROR(INDEX(CONSULTA_BACKUP[TIPO_SERVICIO_PERSONAL],MATCH(Tabla1[[#This Row],[CEDULA DEL BACKUP]],CONSULTA_BACKUP[CEDULA],0)),"")</calculatedColumnFormula>
    </tableColumn>
    <tableColumn id="34" xr3:uid="{00000000-0010-0000-0000-000022000000}" name="DATOS DEL BACKUP" dataDxfId="128">
      <calculatedColumnFormula>IF(LEN(Tabla1[[#This Row],[CEDULA DEL BACKUP]])&gt;10,"X","")</calculatedColumnFormula>
    </tableColumn>
    <tableColumn id="12" xr3:uid="{00000000-0010-0000-0000-00000C000000}" name="CONCEPTO" dataDxfId="127"/>
    <tableColumn id="10" xr3:uid="{00000000-0010-0000-0000-00000A000000}" name="LOCALIDAD" dataDxfId="126"/>
    <tableColumn id="11" xr3:uid="{00000000-0010-0000-0000-00000B000000}" name="NOMBRE DEL PERSONAL CUBIERTO" dataDxfId="125"/>
    <tableColumn id="35" xr3:uid="{00000000-0010-0000-0000-000023000000}" name="CEDULA DEL PERSONAL CUBIERTO" dataDxfId="124">
      <calculatedColumnFormula>IFERROR(INDEX(CONSULTA_FIJOS[CEDULA],MATCH(Tabla1[[#This Row],[NOMBRE DEL PERSONAL CUBIERTO]],CONSULTA_FIJOS[NOMBRE COMPLETO],0)),"")</calculatedColumnFormula>
    </tableColumn>
    <tableColumn id="13" xr3:uid="{00000000-0010-0000-0000-00000D000000}" name="H. ENTRADA" dataDxfId="123"/>
    <tableColumn id="14" xr3:uid="{00000000-0010-0000-0000-00000E000000}" name="H. SALIDA" dataDxfId="122"/>
    <tableColumn id="17" xr3:uid="{00000000-0010-0000-0000-000011000000}" name="DIAS DE COBERTURA" dataDxfId="121"/>
    <tableColumn id="15" xr3:uid="{00000000-0010-0000-0000-00000F000000}" name="MES DE COBERTURA" dataDxfId="120"/>
    <tableColumn id="18" xr3:uid="{00000000-0010-0000-0000-000012000000}" name="CANTIDAD DE SERVICIOS A CUBRIR" dataDxfId="119">
      <calculatedColumnFormula>IF(S4="","",IF(AND(ISNUMBER(VALUE(S4)),LEN(S4)&lt;3),1,
IF(ISNUMBER(SEARCH(";",S4,1)),LEN(S4)-LEN(SUBSTITUTE(S4,";",""))+1,
IF(ISNUMBER(SEARCH(",",S4,1)),LEN(S4)-LEN(SUBSTITUTE(S4,",",""))+1,
IF(ISNUMBER(SEARCH("-",S4,1)),LEN(S4)-LEN(SUBSTITUTE(S4,"-",""))+1,
IF(ISNUMBER(SEARCH("/",S4,1)),LEN(S4)-LEN(SUBSTITUTE(S4,"/",""))+1))))))</calculatedColumnFormula>
    </tableColumn>
    <tableColumn id="19" xr3:uid="{00000000-0010-0000-0000-000013000000}" name="HORAS CUBIERTAS" dataDxfId="118">
      <calculatedColumnFormula>IFERROR(IF(W4="SI",IF(OR(Q4="",R4=""),"",IF(Q4=R4,24,IF(AND(VALUE(HOUR(Q4)+MINUTE(Q4)/60)&gt;12,VALUE(HOUR(Q4)+MINUTE(Q4)/60)&gt;VALUE(HOUR(R4)+MINUTE(R4)/60)),
24-VALUE(HOUR(Q4)+MINUTE(Q4)/60)+VALUE(HOUR(R4)+MINUTE(R4)/60),IF(AND(VALUE(HOUR(Q4)+MINUTE(Q4)/60)&lt;12,VALUE(HOUR(Q4)+MINUTE(Q4)/60)&gt;VALUE(HOUR(R4)+MINUTE(R4)/60)),24-VALUE(HOUR(Q4)+MINUTE(Q4)/60)+VALUE(HOUR(R4)+MINUTE(R4)/60),IF(VALUE(HOUR(R4)+MINUTE(R4)/60)&gt;VALUE(HOUR(Q4)+MINUTE(Q4)/60),VALUE(HOUR(R4)+MINUTE(R4)/60)-VALUE(HOUR(Q4)+MINUTE(Q4)/60),12))))),IF(OR(Q4="",R4=""),"",VALUE(IF(AND(VALUE(HOUR(Q4)+MINUTE(Q4)/60)&gt;12,VALUE(HOUR(Q4)+MINUTE(Q4)/60)&gt;VALUE(HOUR(R4)+MINUTE(R4)/60)),24-VALUE(HOUR(Q4)+MINUTE(Q4)/60)+VALUE(HOUR(R4)+MINUTE(R4)/60),IF(AND(VALUE(HOUR(Q4)+MINUTE(Q4)/60)&lt;12,VALUE(HOUR(Q4)+MINUTE(Q4)/60)&gt;VALUE(HOUR(R4)+MINUTE(R4)/60)),24-VALUE(HOUR(Q4)+MINUTE(Q4)/60)+VALUE(HOUR(R4)+MINUTE(R4)/60),IF(VALUE(HOUR(R4)+MINUTE(R4)/60)&gt;VALUE(HOUR(Q4)+MINUTE(Q4)/60),VALUE(HOUR(R4)+MINUTE(R4)/60)-VALUE(HOUR(Q4)+MINUTE(Q4)/60),24)))))-1),"")</calculatedColumnFormula>
    </tableColumn>
    <tableColumn id="37" xr3:uid="{00000000-0010-0000-0000-000025000000}" name="MANTENER HORA DE ALMUERZO" dataDxfId="117"/>
    <tableColumn id="36" xr3:uid="{00000000-0010-0000-0000-000024000000}" name="MONTOS NEGOCIADOS" dataDxfId="116"/>
    <tableColumn id="22" xr3:uid="{00000000-0010-0000-0000-000016000000}" name="OTROS PAGOS" dataDxfId="115"/>
    <tableColumn id="21" xr3:uid="{00000000-0010-0000-0000-000015000000}" name="COSTO TARIFARIO " dataDxfId="114">
      <calculatedColumnFormula>IF(X4&lt;&gt;0,X4,
IF(M4="ENTRENAMIENTO",300,
IF(V4="","",IF(ISNUMBER(V4),
IF(AND(K4="MEDICO GENERAL",V4=4),500,
IF(AND(K4="MEDICO GENERAL",V4&lt;4),V4*100,
IF(AND(K4="MEDICO GENERAL",V4&gt;4),V4*100,
IF(AND(K4="ENFERMERA",V4=4),375,
IF(AND(K4="ENFERMERA",V4&lt;4),V4*75,
IF(AND(K4="ENFERMERA",V4&gt;4),V4*75,
IF(AND(K4="ODONTOLOGO",V4=4),800,
IF(AND(K4="ODONTOLOGO",V4&lt;4),V4*200,
IF(AND(K4="ODONTOLOGO",V4&gt;4),V4*200,V4)))))))))))))</calculatedColumnFormula>
    </tableColumn>
    <tableColumn id="24" xr3:uid="{00000000-0010-0000-0000-000018000000}" name="SUBTOTAL SERVICIO" dataDxfId="113">
      <calculatedColumnFormula>IFERROR((VALUE(U4)*VALUE(Z4))+VALUE(Y4),"")</calculatedColumnFormula>
    </tableColumn>
    <tableColumn id="25" xr3:uid="{00000000-0010-0000-0000-000019000000}" name="COSTO CON (0.90)" dataDxfId="112">
      <calculatedColumnFormula>IFERROR(AA4/0.9,"")</calculatedColumnFormula>
    </tableColumn>
    <tableColumn id="26" xr3:uid="{00000000-0010-0000-0000-00001A000000}" name="COSTO DEL (0.10)" dataDxfId="111">
      <calculatedColumnFormula>IFERROR(AB4*0.1,"")</calculatedColumnFormula>
    </tableColumn>
    <tableColumn id="27" xr3:uid="{00000000-0010-0000-0000-00001B000000}" name="MONTO A PAGAR" dataDxfId="110">
      <calculatedColumnFormula>IFERROR(AB4-AC4,"")</calculatedColumnFormula>
    </tableColumn>
    <tableColumn id="20" xr3:uid="{00000000-0010-0000-0000-000014000000}" name="DINERO" dataDxfId="109">
      <calculatedColumnFormula>IF(AND(U4&lt;&gt;"",V4&lt;&gt;""),"X","")</calculatedColumnFormula>
    </tableColumn>
    <tableColumn id="28" xr3:uid="{00000000-0010-0000-0000-00001C000000}" name="COMENTARIOS ADICIONALES" dataDxfId="108"/>
    <tableColumn id="29" xr3:uid="{00000000-0010-0000-0000-00001D000000}" name="FACTURACION" dataDxfId="107"/>
    <tableColumn id="30" xr3:uid="{00000000-0010-0000-0000-00001E000000}" name="NOTA DE FACTURACION" dataDxfId="106"/>
    <tableColumn id="31" xr3:uid="{00000000-0010-0000-0000-00001F000000}" name="NOMBRE DEL SOLICITANTE" dataDxfId="105">
      <calculatedColumnFormula>_xlfn.IFNA(IF(Tabla1[[#This Row],[FACTURACION]]="SI",INDEX(TABLA.LOCALIDADES[CONTACTO CLIENTE],MATCH(Tabla1[[#This Row],[LOCALIDAD]],TABLA.LOCALIDADES[LOCALIDADES],0)),""),"")</calculatedColumnFormula>
    </tableColumn>
    <tableColumn id="32" xr3:uid="{00000000-0010-0000-0000-000020000000}" name="CARGO DEL SOLICITANTE" dataDxfId="104">
      <calculatedColumnFormula>_xlfn.IFNA(IF(Tabla1[[#This Row],[FACTURACION]]="SI",INDEX(TABLA.LOCALIDADES[CARGO],MATCH(Tabla1[[#This Row],[LOCALIDAD]],TABLA.LOCALIDADES[LOCALIDADES],0)),""),"")</calculatedColumnFormula>
    </tableColumn>
    <tableColumn id="33" xr3:uid="{00000000-0010-0000-0000-000021000000}" name="TELEFONO DEL SOLICITANTE" dataDxfId="103"/>
    <tableColumn id="38" xr3:uid="{00000000-0010-0000-0000-000026000000}" name="FOUL" dataDxfId="1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2:D17" totalsRowShown="0" headerRowDxfId="101">
  <autoFilter ref="B2:D17" xr:uid="{00000000-0009-0000-0100-000002000000}"/>
  <tableColumns count="3">
    <tableColumn id="1" xr3:uid="{00000000-0010-0000-0100-000001000000}" name="SUPERVISOR"/>
    <tableColumn id="3" xr3:uid="{00000000-0010-0000-0100-000003000000}" name="CONCEPTOS"/>
    <tableColumn id="4" xr3:uid="{00000000-0010-0000-0100-000004000000}" name="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LA_ERRORES" displayName="TABLA_ERRORES" ref="H2:H9" totalsRowShown="0" dataDxfId="100">
  <autoFilter ref="H2:H9" xr:uid="{00000000-0009-0000-0100-00000A000000}"/>
  <tableColumns count="1">
    <tableColumn id="1" xr3:uid="{00000000-0010-0000-0200-000001000000}" name="ERRORES" dataDxfId="9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ONSULTA_BACKUP" displayName="CONSULTA_BACKUP" ref="B1:L205" tableType="queryTable" totalsRowShown="0">
  <autoFilter ref="B1:L205" xr:uid="{00000000-0009-0000-0100-000004000000}"/>
  <tableColumns count="11">
    <tableColumn id="1" xr3:uid="{00000000-0010-0000-0300-000001000000}" uniqueName="1" name="CEDULA" queryTableFieldId="1" dataDxfId="98"/>
    <tableColumn id="2" xr3:uid="{00000000-0010-0000-0300-000002000000}" uniqueName="2" name="NOMBRE COMPLETO" queryTableFieldId="2" dataDxfId="97"/>
    <tableColumn id="3" xr3:uid="{00000000-0010-0000-0300-000003000000}" uniqueName="3" name="TELEFONO" queryTableFieldId="3" dataDxfId="96"/>
    <tableColumn id="4" xr3:uid="{00000000-0010-0000-0300-000004000000}" uniqueName="4" name="TIPO_SERVICIO_PERSONAL" queryTableFieldId="4" dataDxfId="95"/>
    <tableColumn id="5" xr3:uid="{00000000-0010-0000-0300-000005000000}" uniqueName="5" name="TIPO_PERSONAL_EXTERNO" queryTableFieldId="5" dataDxfId="94"/>
    <tableColumn id="6" xr3:uid="{00000000-0010-0000-0300-000006000000}" uniqueName="6" name="METODO_DE_PAGO" queryTableFieldId="6" dataDxfId="93"/>
    <tableColumn id="7" xr3:uid="{00000000-0010-0000-0300-000007000000}" uniqueName="7" name="BANCO" queryTableFieldId="7" dataDxfId="92"/>
    <tableColumn id="8" xr3:uid="{00000000-0010-0000-0300-000008000000}" uniqueName="8" name="TIPO_CUENTA" queryTableFieldId="8" dataDxfId="91"/>
    <tableColumn id="9" xr3:uid="{00000000-0010-0000-0300-000009000000}" uniqueName="9" name="NUMERO_DE_CUENTA" queryTableFieldId="9" dataDxfId="90"/>
    <tableColumn id="10" xr3:uid="{00000000-0010-0000-0300-00000A000000}" uniqueName="10" name="ESTADO" queryTableFieldId="10"/>
    <tableColumn id="11" xr3:uid="{00000000-0010-0000-0300-00000B000000}" uniqueName="11" name="FECHA_INICIO" queryTableFieldId="11" dataDxfId="8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CONSULTA_GENERAL" displayName="CONSULTA_GENERAL" ref="A1:AL31" tableType="queryTable" totalsRowShown="0">
  <autoFilter ref="A1:AL31" xr:uid="{00000000-0009-0000-0100-000009000000}"/>
  <tableColumns count="38">
    <tableColumn id="1" xr3:uid="{00000000-0010-0000-0400-000001000000}" uniqueName="1" name="FECHA CREACION" queryTableFieldId="1"/>
    <tableColumn id="2" xr3:uid="{00000000-0010-0000-0400-000002000000}" uniqueName="2" name="HORA CREACION" queryTableFieldId="2" dataDxfId="88"/>
    <tableColumn id="3" xr3:uid="{00000000-0010-0000-0400-000003000000}" uniqueName="3" name="ID" queryTableFieldId="39"/>
    <tableColumn id="4" xr3:uid="{00000000-0010-0000-0400-000004000000}" uniqueName="4" name="SUPERVISOR ENCARGADO" queryTableFieldId="4" dataDxfId="87"/>
    <tableColumn id="5" xr3:uid="{00000000-0010-0000-0400-000005000000}" uniqueName="5" name="CEDULA DEL BACKUP" queryTableFieldId="5"/>
    <tableColumn id="6" xr3:uid="{00000000-0010-0000-0400-000006000000}" uniqueName="6" name="NOMBRE DEL PERSONAL QUE CUBRE" queryTableFieldId="6" dataDxfId="86"/>
    <tableColumn id="7" xr3:uid="{00000000-0010-0000-0400-000007000000}" uniqueName="7" name="TELEFONO" queryTableFieldId="7"/>
    <tableColumn id="8" xr3:uid="{00000000-0010-0000-0400-000008000000}" uniqueName="8" name="BANCO" queryTableFieldId="8" dataDxfId="85"/>
    <tableColumn id="9" xr3:uid="{00000000-0010-0000-0400-000009000000}" uniqueName="9" name="TIPO DE CUENTA" queryTableFieldId="9" dataDxfId="84"/>
    <tableColumn id="10" xr3:uid="{00000000-0010-0000-0400-00000A000000}" uniqueName="10" name="NUMERO DE CUENTA" queryTableFieldId="10" dataDxfId="83"/>
    <tableColumn id="11" xr3:uid="{00000000-0010-0000-0400-00000B000000}" uniqueName="11" name="TIPO DE PERSONAL" queryTableFieldId="11" dataDxfId="82"/>
    <tableColumn id="12" xr3:uid="{00000000-0010-0000-0400-00000C000000}" uniqueName="12" name="DATOS DEL BACKUP" queryTableFieldId="12"/>
    <tableColumn id="13" xr3:uid="{00000000-0010-0000-0400-00000D000000}" uniqueName="13" name="CONCEPTO" queryTableFieldId="13" dataDxfId="81"/>
    <tableColumn id="14" xr3:uid="{00000000-0010-0000-0400-00000E000000}" uniqueName="14" name="LOCALIDAD" queryTableFieldId="14" dataDxfId="80"/>
    <tableColumn id="15" xr3:uid="{00000000-0010-0000-0400-00000F000000}" uniqueName="15" name="NOMBRE DEL PERSONAL CUBIERTO" queryTableFieldId="15" dataDxfId="79"/>
    <tableColumn id="16" xr3:uid="{00000000-0010-0000-0400-000010000000}" uniqueName="16" name="CEDULA DEL PERSONAL CUBIERTO" queryTableFieldId="16"/>
    <tableColumn id="17" xr3:uid="{00000000-0010-0000-0400-000011000000}" uniqueName="17" name="H. ENTRADA" queryTableFieldId="17" dataDxfId="78"/>
    <tableColumn id="18" xr3:uid="{00000000-0010-0000-0400-000012000000}" uniqueName="18" name="H. SALIDA" queryTableFieldId="18" dataDxfId="77"/>
    <tableColumn id="19" xr3:uid="{00000000-0010-0000-0400-000013000000}" uniqueName="19" name="DIAS DE COBERTURA" queryTableFieldId="19" dataDxfId="76"/>
    <tableColumn id="20" xr3:uid="{00000000-0010-0000-0400-000014000000}" uniqueName="20" name="MES DE COBERTURA" queryTableFieldId="20" dataDxfId="75"/>
    <tableColumn id="21" xr3:uid="{00000000-0010-0000-0400-000015000000}" uniqueName="21" name="CANTIDAD DE SERVICIOS A CUBRIR" queryTableFieldId="21"/>
    <tableColumn id="22" xr3:uid="{00000000-0010-0000-0400-000016000000}" uniqueName="22" name="HORAS CUBIERTAS" queryTableFieldId="22" dataDxfId="74"/>
    <tableColumn id="23" xr3:uid="{00000000-0010-0000-0400-000017000000}" uniqueName="23" name="MANTENER HORA DE ALMUERZO" queryTableFieldId="23" dataDxfId="73"/>
    <tableColumn id="24" xr3:uid="{00000000-0010-0000-0400-000018000000}" uniqueName="24" name="MONTOS NEGOCIADOS" queryTableFieldId="24"/>
    <tableColumn id="26" xr3:uid="{00000000-0010-0000-0400-00001A000000}" uniqueName="26" name="OTROS PAGOS" queryTableFieldId="26"/>
    <tableColumn id="25" xr3:uid="{00000000-0010-0000-0400-000019000000}" uniqueName="25" name="COSTO TARIFARIO " queryTableFieldId="25"/>
    <tableColumn id="27" xr3:uid="{00000000-0010-0000-0400-00001B000000}" uniqueName="27" name="SUBTOTAL SERVICIO" queryTableFieldId="27"/>
    <tableColumn id="28" xr3:uid="{00000000-0010-0000-0400-00001C000000}" uniqueName="28" name="COSTO CON (0.90)" queryTableFieldId="28"/>
    <tableColumn id="29" xr3:uid="{00000000-0010-0000-0400-00001D000000}" uniqueName="29" name="COSTO DEL (0.10)" queryTableFieldId="29"/>
    <tableColumn id="30" xr3:uid="{00000000-0010-0000-0400-00001E000000}" uniqueName="30" name="MONTO A PAGAR" queryTableFieldId="30"/>
    <tableColumn id="31" xr3:uid="{00000000-0010-0000-0400-00001F000000}" uniqueName="31" name="DINERO" queryTableFieldId="31"/>
    <tableColumn id="32" xr3:uid="{00000000-0010-0000-0400-000020000000}" uniqueName="32" name="COMENTARIOS ADICIONALES" queryTableFieldId="32" dataDxfId="72"/>
    <tableColumn id="33" xr3:uid="{00000000-0010-0000-0400-000021000000}" uniqueName="33" name="FACTURACION" queryTableFieldId="33" dataDxfId="71"/>
    <tableColumn id="34" xr3:uid="{00000000-0010-0000-0400-000022000000}" uniqueName="34" name="NOTA DE FACTURACION" queryTableFieldId="34" dataDxfId="70"/>
    <tableColumn id="35" xr3:uid="{00000000-0010-0000-0400-000023000000}" uniqueName="35" name="NOMBRE DEL SOLICITANTE" queryTableFieldId="35" dataDxfId="69"/>
    <tableColumn id="36" xr3:uid="{00000000-0010-0000-0400-000024000000}" uniqueName="36" name="CARGO DEL SOLICITANTE" queryTableFieldId="36" dataDxfId="68"/>
    <tableColumn id="37" xr3:uid="{00000000-0010-0000-0400-000025000000}" uniqueName="37" name="TELEFONO DEL SOLICITANTE" queryTableFieldId="37"/>
    <tableColumn id="38" xr3:uid="{00000000-0010-0000-0400-000026000000}" uniqueName="38" name="FOUL" queryTableFieldId="41" dataDxfId="6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.LOCALIDADES" displayName="TABLA.LOCALIDADES" ref="A1:F102" tableType="queryTable" totalsRowShown="0">
  <autoFilter ref="A1:F102" xr:uid="{00000000-0009-0000-0100-000008000000}"/>
  <tableColumns count="6">
    <tableColumn id="1" xr3:uid="{00000000-0010-0000-0500-000001000000}" uniqueName="1" name="LOCALIDADES" queryTableFieldId="1" dataDxfId="66"/>
    <tableColumn id="2" xr3:uid="{00000000-0010-0000-0500-000002000000}" uniqueName="2" name="ID_Localidad" queryTableFieldId="2" dataDxfId="65"/>
    <tableColumn id="6" xr3:uid="{00000000-0010-0000-0500-000006000000}" uniqueName="6" name="CONTACTO CLIENTE" queryTableFieldId="6" dataDxfId="64"/>
    <tableColumn id="5" xr3:uid="{00000000-0010-0000-0500-000005000000}" uniqueName="5" name="CARGO" queryTableFieldId="5" dataDxfId="63"/>
    <tableColumn id="3" xr3:uid="{00000000-0010-0000-0500-000003000000}" uniqueName="3" name="CREATED" queryTableFieldId="7" dataDxfId="62"/>
    <tableColumn id="4" xr3:uid="{00000000-0010-0000-0500-000004000000}" uniqueName="4" name="CREATED BY" queryTableFieldId="4" dataDxfId="6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_LOCALIDADES_1" displayName="Tabla_LOCALIDADES_1" ref="A1:J347" tableType="queryTable" totalsRowShown="0">
  <autoFilter ref="A1:J347" xr:uid="{00000000-0009-0000-0100-000007000000}"/>
  <tableColumns count="10">
    <tableColumn id="1" xr3:uid="{00000000-0010-0000-0600-000001000000}" uniqueName="ID" name="ID" queryTableFieldId="4" dataDxfId="60"/>
    <tableColumn id="2" xr3:uid="{00000000-0010-0000-0600-000002000000}" uniqueName="Title" name="Title" queryTableFieldId="1" dataDxfId="59"/>
    <tableColumn id="3" xr3:uid="{00000000-0010-0000-0600-000003000000}" uniqueName="ID_Localidad" name="ID_Localidad" queryTableFieldId="2" dataDxfId="58"/>
    <tableColumn id="4" xr3:uid="{00000000-0010-0000-0600-000004000000}" uniqueName="Supervisor_Correo" name="Supervisor_Correo" queryTableFieldId="3" dataDxfId="57"/>
    <tableColumn id="5" xr3:uid="{00000000-0010-0000-0600-000005000000}" uniqueName="Created" name="Created" queryTableFieldId="6" dataDxfId="56"/>
    <tableColumn id="6" xr3:uid="{00000000-0010-0000-0600-000006000000}" uniqueName="Author" name="Created By" queryTableFieldId="7" dataDxfId="55"/>
    <tableColumn id="7" xr3:uid="{00000000-0010-0000-0600-000007000000}" uniqueName="Modified" name="Modified" queryTableFieldId="5" dataDxfId="54"/>
    <tableColumn id="8" xr3:uid="{00000000-0010-0000-0600-000008000000}" uniqueName="Editor" name="Modified By" queryTableFieldId="8" dataDxfId="53"/>
    <tableColumn id="9" xr3:uid="{00000000-0010-0000-0600-000009000000}" uniqueName="FSObjType" name="Item Type" queryTableFieldId="10" dataDxfId="52"/>
    <tableColumn id="10" xr3:uid="{00000000-0010-0000-0600-00000A000000}" uniqueName="FileDirRef" name="Path" queryTableFieldId="9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ONSULTA_FIJOS" displayName="CONSULTA_FIJOS" ref="A1:F209" tableType="queryTable" totalsRowShown="0">
  <autoFilter ref="A1:F209" xr:uid="{00000000-0009-0000-0100-000006000000}"/>
  <tableColumns count="6">
    <tableColumn id="1" xr3:uid="{00000000-0010-0000-0700-000001000000}" uniqueName="1" name="CEDULA" queryTableFieldId="1" dataDxfId="50"/>
    <tableColumn id="2" xr3:uid="{00000000-0010-0000-0700-000002000000}" uniqueName="2" name="NOMBRE COMPLETO" queryTableFieldId="2" dataDxfId="49"/>
    <tableColumn id="3" xr3:uid="{00000000-0010-0000-0700-000003000000}" uniqueName="3" name="TELEFONO" queryTableFieldId="3" dataDxfId="48"/>
    <tableColumn id="4" xr3:uid="{00000000-0010-0000-0700-000004000000}" uniqueName="4" name="TIPO_DE_PERSONAL" queryTableFieldId="4" dataDxfId="47"/>
    <tableColumn id="6" xr3:uid="{00000000-0010-0000-0700-000006000000}" uniqueName="6" name="FECHA DE INGRESO" queryTableFieldId="6" dataDxfId="46"/>
    <tableColumn id="7" xr3:uid="{00000000-0010-0000-0700-000007000000}" uniqueName="7" name="ESTADO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_FIJOS" displayName="Tabla_FIJOS" ref="A1:P209" tableType="queryTable" totalsRowShown="0">
  <autoFilter ref="A1:P209" xr:uid="{00000000-0009-0000-0100-000005000000}"/>
  <tableColumns count="16">
    <tableColumn id="1" xr3:uid="{00000000-0010-0000-0800-000001000000}" uniqueName="Title" name="CEDULA" queryTableFieldId="2" dataDxfId="45"/>
    <tableColumn id="2" xr3:uid="{00000000-0010-0000-0800-000002000000}" uniqueName="NOMBRE" name="NOMBRES" queryTableFieldId="9" dataDxfId="44"/>
    <tableColumn id="3" xr3:uid="{00000000-0010-0000-0800-000003000000}" uniqueName="APELLIDOS" name="APELLIDOS" queryTableFieldId="10" dataDxfId="43"/>
    <tableColumn id="4" xr3:uid="{00000000-0010-0000-0800-000004000000}" uniqueName="TIPO_DE_PERSONAL" name="TIPO_DE_PERSONAL" queryTableFieldId="11" dataDxfId="42"/>
    <tableColumn id="5" xr3:uid="{00000000-0010-0000-0800-000005000000}" uniqueName="EXEQUATUR" name="EXEQUATUR" queryTableFieldId="13" dataDxfId="41"/>
    <tableColumn id="6" xr3:uid="{00000000-0010-0000-0800-000006000000}" uniqueName="FECHA_x005f_x0020_DE_x005f_x0020_INGRESO" name="FECHA DE INGRESO" queryTableFieldId="14" dataDxfId="40"/>
    <tableColumn id="7" xr3:uid="{00000000-0010-0000-0800-000007000000}" uniqueName="TELEONO" name="TELEFONO" queryTableFieldId="12" dataDxfId="39"/>
    <tableColumn id="8" xr3:uid="{00000000-0010-0000-0800-000008000000}" uniqueName="ID" name="ID" queryTableFieldId="1" dataDxfId="38"/>
    <tableColumn id="9" xr3:uid="{00000000-0010-0000-0800-000009000000}" uniqueName="Modified" name="Modified" queryTableFieldId="3" dataDxfId="37"/>
    <tableColumn id="10" xr3:uid="{00000000-0010-0000-0800-00000A000000}" uniqueName="Created" name="Created" queryTableFieldId="4" dataDxfId="36"/>
    <tableColumn id="11" xr3:uid="{00000000-0010-0000-0800-00000B000000}" uniqueName="Author" name="Created By" queryTableFieldId="5" dataDxfId="35"/>
    <tableColumn id="12" xr3:uid="{00000000-0010-0000-0800-00000C000000}" uniqueName="Editor" name="Modified By" queryTableFieldId="6" dataDxfId="34"/>
    <tableColumn id="13" xr3:uid="{00000000-0010-0000-0800-00000D000000}" uniqueName="ESTADO" name="ESTADO" queryTableFieldId="15" dataDxfId="33"/>
    <tableColumn id="14" xr3:uid="{00000000-0010-0000-0800-00000E000000}" uniqueName="LOCALIDAD" name="LOCALIDAD" queryTableFieldId="16" dataDxfId="32"/>
    <tableColumn id="15" xr3:uid="{00000000-0010-0000-0800-00000F000000}" uniqueName="FSObjType" name="Item Type" queryTableFieldId="8" dataDxfId="31"/>
    <tableColumn id="16" xr3:uid="{00000000-0010-0000-0800-000010000000}" uniqueName="FileDirRef" name="Path" queryTableFieldId="7" dataDxfId="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Tabla_BACKUP" displayName="Tabla_BACKUP" ref="A1:U232" tableType="queryTable" totalsRowShown="0">
  <autoFilter ref="A1:U232" xr:uid="{00000000-0009-0000-0100-000003000000}"/>
  <tableColumns count="21">
    <tableColumn id="1" xr3:uid="{00000000-0010-0000-0900-000001000000}" uniqueName="Title" name="CEDULA" queryTableFieldId="1" dataDxfId="29"/>
    <tableColumn id="2" xr3:uid="{00000000-0010-0000-0900-000002000000}" uniqueName="NOMBRE" name="NOMBRES" queryTableFieldId="8" dataDxfId="28"/>
    <tableColumn id="3" xr3:uid="{00000000-0010-0000-0900-000003000000}" uniqueName="APELLIDOS" name="APELLIDOS" queryTableFieldId="9" dataDxfId="27"/>
    <tableColumn id="4" xr3:uid="{00000000-0010-0000-0900-000004000000}" uniqueName="METODO_DE_PAGO" name="METODO_DE_PAGO" queryTableFieldId="10" dataDxfId="26"/>
    <tableColumn id="5" xr3:uid="{00000000-0010-0000-0900-000005000000}" uniqueName="BANCO" name="BANCO" queryTableFieldId="11" dataDxfId="25"/>
    <tableColumn id="6" xr3:uid="{00000000-0010-0000-0900-000006000000}" uniqueName="TIPO_CUENTA" name="TIPO_CUENTA" queryTableFieldId="12" dataDxfId="24"/>
    <tableColumn id="7" xr3:uid="{00000000-0010-0000-0900-000007000000}" uniqueName="NUMERO_x005f_x0020_DE_x005f_x0020_CUENTA" name="NUMERO_DE_CUENTA" queryTableFieldId="13" dataDxfId="23"/>
    <tableColumn id="8" xr3:uid="{00000000-0010-0000-0900-000008000000}" uniqueName="EXEQUATUR" name="EXEQUATUR" queryTableFieldId="14" dataDxfId="22"/>
    <tableColumn id="9" xr3:uid="{00000000-0010-0000-0900-000009000000}" uniqueName="TELEFONO" name="TELEFONO" queryTableFieldId="15" dataDxfId="21"/>
    <tableColumn id="10" xr3:uid="{00000000-0010-0000-0900-00000A000000}" uniqueName="CORREO_ELECTRONICO" name="CORREO_ELECTRONICO" queryTableFieldId="16" dataDxfId="20"/>
    <tableColumn id="11" xr3:uid="{00000000-0010-0000-0900-00000B000000}" uniqueName="ESTADO" name="ESTADO" queryTableFieldId="18" dataDxfId="19"/>
    <tableColumn id="12" xr3:uid="{00000000-0010-0000-0900-00000C000000}" uniqueName="FECHA_INICIO" name="FECHA_INICIO" queryTableFieldId="19" dataDxfId="18"/>
    <tableColumn id="13" xr3:uid="{00000000-0010-0000-0900-00000D000000}" uniqueName="TIPO_PERSONAL_EXTERNO" name="TIPO_PERSONAL_EXTERNO" queryTableFieldId="20" dataDxfId="17"/>
    <tableColumn id="14" xr3:uid="{00000000-0010-0000-0900-00000E000000}" uniqueName="TIPO_SERVICIO_PERSONAL" name="TIPO_SERVICIO_PERSONAL" queryTableFieldId="21" dataDxfId="16"/>
    <tableColumn id="15" xr3:uid="{00000000-0010-0000-0900-00000F000000}" uniqueName="Modified" name="Modified" queryTableFieldId="2" dataDxfId="15"/>
    <tableColumn id="16" xr3:uid="{00000000-0010-0000-0900-000010000000}" uniqueName="Created" name="Created" queryTableFieldId="3" dataDxfId="14"/>
    <tableColumn id="17" xr3:uid="{00000000-0010-0000-0900-000011000000}" uniqueName="Author" name="Created By" queryTableFieldId="4" dataDxfId="13"/>
    <tableColumn id="18" xr3:uid="{00000000-0010-0000-0900-000012000000}" uniqueName="Editor" name="Modified By" queryTableFieldId="5" dataDxfId="12"/>
    <tableColumn id="19" xr3:uid="{00000000-0010-0000-0900-000013000000}" uniqueName="DIRECCION_RESIDENCIA" name="DIRECCION_RESIDENCIA" queryTableFieldId="17" dataDxfId="11"/>
    <tableColumn id="20" xr3:uid="{00000000-0010-0000-0900-000014000000}" uniqueName="FSObjType" name="Item Type" queryTableFieldId="7" dataDxfId="10"/>
    <tableColumn id="21" xr3:uid="{00000000-0010-0000-0900-000015000000}" uniqueName="FileDirRef" name="Path" queryTableFieldId="6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3:H8"/>
  <sheetViews>
    <sheetView zoomScale="160" zoomScaleNormal="160" workbookViewId="0">
      <selection activeCell="I4" sqref="I4"/>
    </sheetView>
  </sheetViews>
  <sheetFormatPr baseColWidth="10" defaultRowHeight="15" x14ac:dyDescent="0.2"/>
  <cols>
    <col min="1" max="1" width="8.33203125" customWidth="1"/>
    <col min="2" max="2" width="13.1640625" customWidth="1"/>
  </cols>
  <sheetData>
    <row r="3" spans="2:8" x14ac:dyDescent="0.2">
      <c r="B3" s="40" t="s">
        <v>2080</v>
      </c>
    </row>
    <row r="5" spans="2:8" x14ac:dyDescent="0.2">
      <c r="B5" s="40" t="s">
        <v>2079</v>
      </c>
      <c r="C5" s="39"/>
      <c r="D5" s="39"/>
      <c r="E5" s="39"/>
      <c r="F5" s="39"/>
      <c r="G5" s="39"/>
      <c r="H5" s="39"/>
    </row>
    <row r="6" spans="2:8" x14ac:dyDescent="0.2">
      <c r="B6" s="50" t="s">
        <v>2081</v>
      </c>
      <c r="C6" s="51"/>
      <c r="D6" s="51"/>
      <c r="E6" s="51"/>
      <c r="F6" s="51"/>
      <c r="G6" s="51"/>
      <c r="H6" s="51"/>
    </row>
    <row r="7" spans="2:8" x14ac:dyDescent="0.2">
      <c r="B7" s="93" t="s">
        <v>2082</v>
      </c>
      <c r="C7" s="93"/>
      <c r="D7" s="93"/>
      <c r="E7" s="93"/>
      <c r="F7" s="93"/>
      <c r="G7" s="93"/>
      <c r="H7" s="93"/>
    </row>
    <row r="8" spans="2:8" x14ac:dyDescent="0.2">
      <c r="B8" s="54" t="s">
        <v>2384</v>
      </c>
      <c r="C8" s="55"/>
      <c r="D8" s="55"/>
      <c r="E8" s="55"/>
      <c r="F8" s="55"/>
      <c r="G8" s="55"/>
      <c r="H8" s="55"/>
    </row>
  </sheetData>
  <sheetProtection algorithmName="SHA-512" hashValue="qCHwnNnKQyewRqqJeGfurIsmRZUQaqm+Za5s2SgbbVeda6Wo4/G5NQ1MFPitzYQXDIQDX/f4PF/dAs/td3ceEA==" saltValue="BuJLHDQTVR9yd/7m0rzeSQ==" spinCount="100000" sheet="1" selectLockedCells="1" selectUnlockedCells="1"/>
  <mergeCells count="1">
    <mergeCell ref="B7:H7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M33"/>
  <sheetViews>
    <sheetView topLeftCell="D2" zoomScale="69" zoomScaleNormal="69" workbookViewId="0">
      <selection activeCell="R15" sqref="R15"/>
    </sheetView>
  </sheetViews>
  <sheetFormatPr baseColWidth="10" defaultColWidth="20.1640625" defaultRowHeight="15" outlineLevelCol="1" x14ac:dyDescent="0.2"/>
  <cols>
    <col min="1" max="2" width="0" style="14" hidden="1" customWidth="1"/>
    <col min="3" max="6" width="20.1640625" style="14"/>
    <col min="7" max="11" width="20.1640625" style="15" hidden="1" customWidth="1" outlineLevel="1"/>
    <col min="12" max="12" width="20.1640625" style="14" collapsed="1"/>
    <col min="13" max="13" width="20.1640625" style="14"/>
    <col min="14" max="14" width="20.1640625" style="15"/>
    <col min="15" max="15" width="32.1640625" style="14" customWidth="1"/>
    <col min="16" max="16" width="0" style="14" hidden="1" customWidth="1"/>
    <col min="18" max="19" width="20.1640625" style="14"/>
    <col min="20" max="21" width="20.1640625" style="19"/>
    <col min="22" max="26" width="20.1640625" style="14"/>
    <col min="27" max="27" width="0" hidden="1" customWidth="1" outlineLevel="1"/>
    <col min="28" max="30" width="0" style="14" hidden="1" customWidth="1" outlineLevel="1"/>
    <col min="31" max="31" width="20.1640625" style="14" collapsed="1"/>
    <col min="32" max="37" width="20.1640625" style="14"/>
    <col min="38" max="38" width="31.5" style="14" hidden="1" customWidth="1" outlineLevel="1"/>
    <col min="39" max="39" width="20.1640625" style="14" collapsed="1"/>
    <col min="40" max="16384" width="20.1640625" style="14"/>
  </cols>
  <sheetData>
    <row r="1" spans="1:38" ht="28.5" customHeight="1" x14ac:dyDescent="0.2">
      <c r="A1" s="72">
        <v>123</v>
      </c>
      <c r="B1" s="72"/>
      <c r="C1" s="48" t="s">
        <v>2083</v>
      </c>
      <c r="D1" s="77"/>
      <c r="E1" s="78"/>
      <c r="F1" s="49"/>
      <c r="Q1" s="14"/>
      <c r="S1" s="19"/>
      <c r="U1" s="14"/>
      <c r="AA1" s="14"/>
    </row>
    <row r="2" spans="1:38" s="13" customFormat="1" ht="20.25" customHeight="1" x14ac:dyDescent="0.2">
      <c r="A2" s="73"/>
      <c r="B2" s="74"/>
      <c r="C2" s="75"/>
      <c r="D2" s="75"/>
      <c r="E2" s="76"/>
      <c r="F2" s="14"/>
      <c r="G2" s="15"/>
      <c r="H2" s="15"/>
      <c r="I2" s="15"/>
      <c r="J2" s="15"/>
      <c r="K2" s="15"/>
      <c r="L2" s="16"/>
      <c r="N2" s="20"/>
      <c r="Q2" s="14"/>
      <c r="R2" s="14"/>
      <c r="S2" s="17"/>
      <c r="T2" s="17"/>
      <c r="X2"/>
      <c r="Y2"/>
      <c r="Z2"/>
      <c r="AA2"/>
      <c r="AB2"/>
      <c r="AC2"/>
      <c r="AD2"/>
      <c r="AE2"/>
    </row>
    <row r="3" spans="1:38" s="18" customFormat="1" ht="55.5" customHeight="1" x14ac:dyDescent="0.2">
      <c r="A3" s="70" t="s">
        <v>2326</v>
      </c>
      <c r="B3" s="71" t="s">
        <v>2327</v>
      </c>
      <c r="C3" s="32" t="s">
        <v>1343</v>
      </c>
      <c r="D3" s="33" t="s">
        <v>0</v>
      </c>
      <c r="E3" s="33" t="s">
        <v>2078</v>
      </c>
      <c r="F3" s="34" t="s">
        <v>1</v>
      </c>
      <c r="G3" s="34" t="s">
        <v>2</v>
      </c>
      <c r="H3" s="34" t="s">
        <v>3</v>
      </c>
      <c r="I3" s="34" t="s">
        <v>4</v>
      </c>
      <c r="J3" s="34" t="s">
        <v>5</v>
      </c>
      <c r="K3" s="34" t="s">
        <v>15</v>
      </c>
      <c r="L3" s="34" t="s">
        <v>14</v>
      </c>
      <c r="M3" s="33" t="s">
        <v>8</v>
      </c>
      <c r="N3" s="33" t="s">
        <v>6</v>
      </c>
      <c r="O3" s="33" t="s">
        <v>7</v>
      </c>
      <c r="P3" s="35" t="s">
        <v>2076</v>
      </c>
      <c r="Q3" s="36" t="s">
        <v>9</v>
      </c>
      <c r="R3" s="36" t="s">
        <v>10</v>
      </c>
      <c r="S3" s="37" t="s">
        <v>11</v>
      </c>
      <c r="T3" s="37" t="s">
        <v>2062</v>
      </c>
      <c r="U3" s="34" t="s">
        <v>12</v>
      </c>
      <c r="V3" s="34" t="s">
        <v>13</v>
      </c>
      <c r="W3" s="60" t="s">
        <v>2398</v>
      </c>
      <c r="X3" s="60" t="s">
        <v>2397</v>
      </c>
      <c r="Y3" s="60" t="s">
        <v>17</v>
      </c>
      <c r="Z3" s="34" t="s">
        <v>16</v>
      </c>
      <c r="AA3" s="34" t="s">
        <v>18</v>
      </c>
      <c r="AB3" s="34" t="s">
        <v>19</v>
      </c>
      <c r="AC3" s="34" t="s">
        <v>20</v>
      </c>
      <c r="AD3" s="34" t="s">
        <v>21</v>
      </c>
      <c r="AE3" s="34" t="s">
        <v>28</v>
      </c>
      <c r="AF3" s="33" t="s">
        <v>22</v>
      </c>
      <c r="AG3" s="33" t="s">
        <v>23</v>
      </c>
      <c r="AH3" s="33" t="s">
        <v>24</v>
      </c>
      <c r="AI3" s="33" t="s">
        <v>25</v>
      </c>
      <c r="AJ3" s="33" t="s">
        <v>26</v>
      </c>
      <c r="AK3" s="38" t="s">
        <v>27</v>
      </c>
      <c r="AL3" s="91" t="s">
        <v>2599</v>
      </c>
    </row>
    <row r="4" spans="1:38" ht="15" customHeight="1" x14ac:dyDescent="0.2">
      <c r="A4" s="56"/>
      <c r="B4" s="56"/>
      <c r="C4" s="21">
        <f>IF(D4="","",ROW(C1))</f>
        <v>1</v>
      </c>
      <c r="D4" s="41" t="s">
        <v>2049</v>
      </c>
      <c r="E4" s="43" t="s">
        <v>847</v>
      </c>
      <c r="F4" s="23" t="str">
        <f>IFERROR(INDEX(CONSULTA_BACKUP[NOMBRE COMPLETO],MATCH(Tabla1[[#This Row],[CEDULA DEL BACKUP]],CONSULTA_BACKUP[CEDULA],0)),"")</f>
        <v>ISABEL CASTILLO CRUZ</v>
      </c>
      <c r="G4" s="23">
        <f>IFERROR(INDEX(CONSULTA_BACKUP[TELEFONO],MATCH(Tabla1[[#This Row],[CEDULA DEL BACKUP]],CONSULTA_BACKUP[CEDULA],0)),"")</f>
        <v>8099069358</v>
      </c>
      <c r="H4" s="23" t="str">
        <f>IFERROR(INDEX(CONSULTA_BACKUP[BANCO],MATCH(Tabla1[[#This Row],[CEDULA DEL BACKUP]],CONSULTA_BACKUP[CEDULA],0)),"")</f>
        <v>BANCO BHDLEON</v>
      </c>
      <c r="I4" s="23" t="str">
        <f>IFERROR(INDEX(CONSULTA_BACKUP[TIPO_CUENTA],MATCH(Tabla1[[#This Row],[CEDULA DEL BACKUP]],CONSULTA_BACKUP[CEDULA],0)),"")</f>
        <v>CUENTA DE AHORRO DOP</v>
      </c>
      <c r="J4" s="23" t="str">
        <f>IFERROR(INDEX(CONSULTA_BACKUP[NUMERO_DE_CUENTA],MATCH(Tabla1[[#This Row],[CEDULA DEL BACKUP]],CONSULTA_BACKUP[CEDULA],0)),"")</f>
        <v>03658870016</v>
      </c>
      <c r="K4" s="23" t="str">
        <f>IFERROR(INDEX(CONSULTA_BACKUP[TIPO_SERVICIO_PERSONAL],MATCH(Tabla1[[#This Row],[CEDULA DEL BACKUP]],CONSULTA_BACKUP[CEDULA],0)),"")</f>
        <v>MEDICO GENERAL</v>
      </c>
      <c r="L4" s="23" t="str">
        <f>IF(LEN(Tabla1[[#This Row],[CEDULA DEL BACKUP]])&gt;10,"X","")</f>
        <v>X</v>
      </c>
      <c r="M4" s="41" t="s">
        <v>2058</v>
      </c>
      <c r="N4" s="41"/>
      <c r="O4" s="89" t="s">
        <v>1935</v>
      </c>
      <c r="P4" s="52" t="str">
        <f>IFERROR(INDEX(CONSULTA_FIJOS[CEDULA],MATCH(Tabla1[[#This Row],[NOMBRE DEL PERSONAL CUBIERTO]],CONSULTA_FIJOS[NOMBRE COMPLETO],0)),"")</f>
        <v>00117583054</v>
      </c>
      <c r="Q4" s="46">
        <v>0.29166666666666669</v>
      </c>
      <c r="R4" s="46">
        <v>0.95833333333333337</v>
      </c>
      <c r="S4" s="81" t="s">
        <v>2625</v>
      </c>
      <c r="T4" s="89" t="s">
        <v>2074</v>
      </c>
      <c r="U4" s="23">
        <f t="shared" ref="U4:U23" si="0">IF(S4="","",IF(AND(ISNUMBER(VALUE(S4)),LEN(S4)&lt;3),1,
IF(ISNUMBER(SEARCH(";",S4,1)),LEN(S4)-LEN(SUBSTITUTE(S4,";",""))+1,
IF(ISNUMBER(SEARCH(",",S4,1)),LEN(S4)-LEN(SUBSTITUTE(S4,",",""))+1,
IF(ISNUMBER(SEARCH("-",S4,1)),LEN(S4)-LEN(SUBSTITUTE(S4,"-",""))+1,
IF(ISNUMBER(SEARCH("/",S4,1)),LEN(S4)-LEN(SUBSTITUTE(S4,"/",""))+1))))))</f>
        <v>1</v>
      </c>
      <c r="V4" s="25">
        <f t="shared" ref="V4:V33" si="1">IFERROR(IF(W4="SI",IF(OR(Q4="",R4=""),"",IF(Q4=R4,24,IF(AND(VALUE(HOUR(Q4)+MINUTE(Q4)/60)&gt;12,VALUE(HOUR(Q4)+MINUTE(Q4)/60)&gt;VALUE(HOUR(R4)+MINUTE(R4)/60)),
24-VALUE(HOUR(Q4)+MINUTE(Q4)/60)+VALUE(HOUR(R4)+MINUTE(R4)/60),IF(AND(VALUE(HOUR(Q4)+MINUTE(Q4)/60)&lt;12,VALUE(HOUR(Q4)+MINUTE(Q4)/60)&gt;VALUE(HOUR(R4)+MINUTE(R4)/60)),24-VALUE(HOUR(Q4)+MINUTE(Q4)/60)+VALUE(HOUR(R4)+MINUTE(R4)/60),IF(VALUE(HOUR(R4)+MINUTE(R4)/60)&gt;VALUE(HOUR(Q4)+MINUTE(Q4)/60),VALUE(HOUR(R4)+MINUTE(R4)/60)-VALUE(HOUR(Q4)+MINUTE(Q4)/60),12))))),IF(OR(Q4="",R4=""),"",VALUE(IF(AND(VALUE(HOUR(Q4)+MINUTE(Q4)/60)&gt;12,VALUE(HOUR(Q4)+MINUTE(Q4)/60)&gt;VALUE(HOUR(R4)+MINUTE(R4)/60)),24-VALUE(HOUR(Q4)+MINUTE(Q4)/60)+VALUE(HOUR(R4)+MINUTE(R4)/60),IF(AND(VALUE(HOUR(Q4)+MINUTE(Q4)/60)&lt;12,VALUE(HOUR(Q4)+MINUTE(Q4)/60)&gt;VALUE(HOUR(R4)+MINUTE(R4)/60)),24-VALUE(HOUR(Q4)+MINUTE(Q4)/60)+VALUE(HOUR(R4)+MINUTE(R4)/60),IF(VALUE(HOUR(R4)+MINUTE(R4)/60)&gt;VALUE(HOUR(Q4)+MINUTE(Q4)/60),VALUE(HOUR(R4)+MINUTE(R4)/60)-VALUE(HOUR(Q4)+MINUTE(Q4)/60),24)))))-1),"")</f>
        <v>16</v>
      </c>
      <c r="W4" s="87" t="s">
        <v>2617</v>
      </c>
      <c r="X4" s="61"/>
      <c r="Y4" s="31"/>
      <c r="Z4" s="83">
        <f t="shared" ref="Z4:Z23" si="2">IF(X4&lt;&gt;0,X4,
IF(M4="ENTRENAMIENTO",300,
IF(V4="","",IF(ISNUMBER(V4),
IF(AND(K4="MEDICO GENERAL",V4=4),500,
IF(AND(K4="MEDICO GENERAL",V4&lt;4),V4*100,
IF(AND(K4="MEDICO GENERAL",V4&gt;4),V4*100,
IF(AND(K4="ENFERMERA",V4=4),375,
IF(AND(K4="ENFERMERA",V4&lt;4),V4*75,
IF(AND(K4="ENFERMERA",V4&gt;4),V4*75,
IF(AND(K4="ODONTOLOGO",V4=4),800,
IF(AND(K4="ODONTOLOGO",V4&lt;4),V4*200,
IF(AND(K4="ODONTOLOGO",V4&gt;4),V4*200,V4)))))))))))))</f>
        <v>1600</v>
      </c>
      <c r="AA4" s="26">
        <f t="shared" ref="AA4:AA23" si="3">IFERROR((VALUE(U4)*VALUE(Z4))+VALUE(Y4),"")</f>
        <v>1600</v>
      </c>
      <c r="AB4" s="26">
        <f>IFERROR(AA4/0.9,"")</f>
        <v>1777.7777777777778</v>
      </c>
      <c r="AC4" s="26">
        <f>IFERROR(AB4*0.1,"")</f>
        <v>177.7777777777778</v>
      </c>
      <c r="AD4" s="26">
        <f>IFERROR(AB4-AC4,"")</f>
        <v>1600</v>
      </c>
      <c r="AE4" s="83" t="str">
        <f t="shared" ref="AE4:AE23" si="4">IF(AND(U4&lt;&gt;"",V4&lt;&gt;""),"X","")</f>
        <v>X</v>
      </c>
      <c r="AF4" s="81"/>
      <c r="AG4" s="41"/>
      <c r="AH4" s="81"/>
      <c r="AI4" s="79" t="str">
        <f>_xlfn.IFNA(IF(Tabla1[[#This Row],[FACTURACION]]="SI",INDEX(TABLA.LOCALIDADES[CONTACTO CLIENTE],MATCH(Tabla1[[#This Row],[LOCALIDAD]],TABLA.LOCALIDADES[LOCALIDADES],0)),""),"")</f>
        <v/>
      </c>
      <c r="AJ4" s="79" t="str">
        <f>_xlfn.IFNA(IF(Tabla1[[#This Row],[FACTURACION]]="SI",INDEX(TABLA.LOCALIDADES[CARGO],MATCH(Tabla1[[#This Row],[LOCALIDAD]],TABLA.LOCALIDADES[LOCALIDADES],0)),""),"")</f>
        <v/>
      </c>
      <c r="AK4" s="81"/>
      <c r="AL4" s="92"/>
    </row>
    <row r="5" spans="1:38" ht="32" x14ac:dyDescent="0.2">
      <c r="A5" s="57"/>
      <c r="B5" s="57"/>
      <c r="C5" s="21">
        <f t="shared" ref="C5:C23" si="5">IF(D5="","",ROW(C2))</f>
        <v>2</v>
      </c>
      <c r="D5" s="41" t="s">
        <v>2049</v>
      </c>
      <c r="E5" s="44" t="s">
        <v>2479</v>
      </c>
      <c r="F5" s="23" t="str">
        <f>IFERROR(INDEX(CONSULTA_BACKUP[NOMBRE COMPLETO],MATCH(Tabla1[[#This Row],[CEDULA DEL BACKUP]],CONSULTA_BACKUP[CEDULA],0)),"")</f>
        <v>LAUTERIA HERRERA BATISTA</v>
      </c>
      <c r="G5" s="23">
        <f>IFERROR(INDEX(CONSULTA_BACKUP[TELEFONO],MATCH(Tabla1[[#This Row],[CEDULA DEL BACKUP]],CONSULTA_BACKUP[CEDULA],0)),"")</f>
        <v>8296169403</v>
      </c>
      <c r="H5" s="23" t="str">
        <f>IFERROR(INDEX(CONSULTA_BACKUP[BANCO],MATCH(Tabla1[[#This Row],[CEDULA DEL BACKUP]],CONSULTA_BACKUP[CEDULA],0)),"")</f>
        <v>BANCO POPULAR</v>
      </c>
      <c r="I5" s="23" t="str">
        <f>IFERROR(INDEX(CONSULTA_BACKUP[TIPO_CUENTA],MATCH(Tabla1[[#This Row],[CEDULA DEL BACKUP]],CONSULTA_BACKUP[CEDULA],0)),"")</f>
        <v>CUENTA DE AHORRO DOP</v>
      </c>
      <c r="J5" s="23" t="str">
        <f>IFERROR(INDEX(CONSULTA_BACKUP[NUMERO_DE_CUENTA],MATCH(Tabla1[[#This Row],[CEDULA DEL BACKUP]],CONSULTA_BACKUP[CEDULA],0)),"")</f>
        <v>813171733</v>
      </c>
      <c r="K5" s="23" t="str">
        <f>IFERROR(INDEX(CONSULTA_BACKUP[TIPO_SERVICIO_PERSONAL],MATCH(Tabla1[[#This Row],[CEDULA DEL BACKUP]],CONSULTA_BACKUP[CEDULA],0)),"")</f>
        <v>MEDICO GENERAL</v>
      </c>
      <c r="L5" s="23" t="str">
        <f>IF(LEN(Tabla1[[#This Row],[CEDULA DEL BACKUP]])&gt;10,"X","")</f>
        <v>X</v>
      </c>
      <c r="M5" s="41" t="s">
        <v>2055</v>
      </c>
      <c r="N5" s="41" t="s">
        <v>74</v>
      </c>
      <c r="O5" s="89" t="s">
        <v>1327</v>
      </c>
      <c r="P5" s="52" t="str">
        <f>IFERROR(INDEX(CONSULTA_FIJOS[CEDULA],MATCH(Tabla1[[#This Row],[NOMBRE DEL PERSONAL CUBIERTO]],CONSULTA_FIJOS[NOMBRE COMPLETO],0)),"")</f>
        <v>00119089712</v>
      </c>
      <c r="Q5" s="46">
        <v>0.33333333333333331</v>
      </c>
      <c r="R5" s="46">
        <v>0.83333333333333337</v>
      </c>
      <c r="S5" s="81" t="s">
        <v>2629</v>
      </c>
      <c r="T5" s="89" t="s">
        <v>2074</v>
      </c>
      <c r="U5" s="27">
        <f t="shared" si="0"/>
        <v>3</v>
      </c>
      <c r="V5" s="25">
        <f t="shared" si="1"/>
        <v>12</v>
      </c>
      <c r="W5" s="87" t="s">
        <v>2617</v>
      </c>
      <c r="X5" s="61"/>
      <c r="Y5" s="31"/>
      <c r="Z5" s="83">
        <f t="shared" si="2"/>
        <v>1200</v>
      </c>
      <c r="AA5" s="26">
        <f t="shared" si="3"/>
        <v>3600</v>
      </c>
      <c r="AB5" s="26">
        <f t="shared" ref="AB5:AB23" si="6">IFERROR(AA5/0.9,"")</f>
        <v>4000</v>
      </c>
      <c r="AC5" s="26">
        <f t="shared" ref="AC5:AC23" si="7">IFERROR(AB5*0.1,"")</f>
        <v>400</v>
      </c>
      <c r="AD5" s="26">
        <f t="shared" ref="AD5:AD23" si="8">IFERROR(AB5-AC5,"")</f>
        <v>3600</v>
      </c>
      <c r="AE5" s="83" t="str">
        <f t="shared" si="4"/>
        <v>X</v>
      </c>
      <c r="AF5" s="81"/>
      <c r="AG5" s="41"/>
      <c r="AH5" s="81"/>
      <c r="AI5" s="79" t="str">
        <f>_xlfn.IFNA(IF(Tabla1[[#This Row],[FACTURACION]]="SI",INDEX(TABLA.LOCALIDADES[CONTACTO CLIENTE],MATCH(Tabla1[[#This Row],[LOCALIDAD]],TABLA.LOCALIDADES[LOCALIDADES],0)),""),"")</f>
        <v/>
      </c>
      <c r="AJ5" s="79" t="str">
        <f>_xlfn.IFNA(IF(Tabla1[[#This Row],[FACTURACION]]="SI",INDEX(TABLA.LOCALIDADES[CARGO],MATCH(Tabla1[[#This Row],[LOCALIDAD]],TABLA.LOCALIDADES[LOCALIDADES],0)),""),"")</f>
        <v/>
      </c>
      <c r="AK5" s="81"/>
      <c r="AL5" s="92"/>
    </row>
    <row r="6" spans="1:38" ht="32" x14ac:dyDescent="0.2">
      <c r="A6" s="57"/>
      <c r="B6" s="57"/>
      <c r="C6" s="21">
        <f t="shared" si="5"/>
        <v>3</v>
      </c>
      <c r="D6" s="41" t="s">
        <v>2049</v>
      </c>
      <c r="E6" s="44" t="s">
        <v>2479</v>
      </c>
      <c r="F6" s="23" t="str">
        <f>IFERROR(INDEX(CONSULTA_BACKUP[NOMBRE COMPLETO],MATCH(Tabla1[[#This Row],[CEDULA DEL BACKUP]],CONSULTA_BACKUP[CEDULA],0)),"")</f>
        <v>LAUTERIA HERRERA BATISTA</v>
      </c>
      <c r="G6" s="23">
        <f>IFERROR(INDEX(CONSULTA_BACKUP[TELEFONO],MATCH(Tabla1[[#This Row],[CEDULA DEL BACKUP]],CONSULTA_BACKUP[CEDULA],0)),"")</f>
        <v>8296169403</v>
      </c>
      <c r="H6" s="23" t="str">
        <f>IFERROR(INDEX(CONSULTA_BACKUP[BANCO],MATCH(Tabla1[[#This Row],[CEDULA DEL BACKUP]],CONSULTA_BACKUP[CEDULA],0)),"")</f>
        <v>BANCO POPULAR</v>
      </c>
      <c r="I6" s="23" t="str">
        <f>IFERROR(INDEX(CONSULTA_BACKUP[TIPO_CUENTA],MATCH(Tabla1[[#This Row],[CEDULA DEL BACKUP]],CONSULTA_BACKUP[CEDULA],0)),"")</f>
        <v>CUENTA DE AHORRO DOP</v>
      </c>
      <c r="J6" s="23" t="str">
        <f>IFERROR(INDEX(CONSULTA_BACKUP[NUMERO_DE_CUENTA],MATCH(Tabla1[[#This Row],[CEDULA DEL BACKUP]],CONSULTA_BACKUP[CEDULA],0)),"")</f>
        <v>813171733</v>
      </c>
      <c r="K6" s="23" t="str">
        <f>IFERROR(INDEX(CONSULTA_BACKUP[TIPO_SERVICIO_PERSONAL],MATCH(Tabla1[[#This Row],[CEDULA DEL BACKUP]],CONSULTA_BACKUP[CEDULA],0)),"")</f>
        <v>MEDICO GENERAL</v>
      </c>
      <c r="L6" s="23" t="str">
        <f>IF(LEN(Tabla1[[#This Row],[CEDULA DEL BACKUP]])&gt;10,"X","")</f>
        <v>X</v>
      </c>
      <c r="M6" s="41" t="s">
        <v>2055</v>
      </c>
      <c r="N6" s="41" t="s">
        <v>74</v>
      </c>
      <c r="O6" s="89" t="s">
        <v>1327</v>
      </c>
      <c r="P6" s="52" t="str">
        <f>IFERROR(INDEX(CONSULTA_FIJOS[CEDULA],MATCH(Tabla1[[#This Row],[NOMBRE DEL PERSONAL CUBIERTO]],CONSULTA_FIJOS[NOMBRE COMPLETO],0)),"")</f>
        <v>00119089712</v>
      </c>
      <c r="Q6" s="46">
        <v>0.33333333333333331</v>
      </c>
      <c r="R6" s="46">
        <v>0.75</v>
      </c>
      <c r="S6" s="81" t="s">
        <v>2630</v>
      </c>
      <c r="T6" s="89" t="s">
        <v>2074</v>
      </c>
      <c r="U6" s="27">
        <f t="shared" si="0"/>
        <v>2</v>
      </c>
      <c r="V6" s="25">
        <f t="shared" si="1"/>
        <v>10</v>
      </c>
      <c r="W6" s="87" t="s">
        <v>2617</v>
      </c>
      <c r="X6" s="61"/>
      <c r="Y6" s="31"/>
      <c r="Z6" s="83">
        <f t="shared" si="2"/>
        <v>1000</v>
      </c>
      <c r="AA6" s="26">
        <f t="shared" si="3"/>
        <v>2000</v>
      </c>
      <c r="AB6" s="26">
        <f t="shared" si="6"/>
        <v>2222.2222222222222</v>
      </c>
      <c r="AC6" s="26">
        <f t="shared" si="7"/>
        <v>222.22222222222223</v>
      </c>
      <c r="AD6" s="26">
        <f t="shared" si="8"/>
        <v>2000</v>
      </c>
      <c r="AE6" s="83" t="str">
        <f t="shared" si="4"/>
        <v>X</v>
      </c>
      <c r="AF6" s="81"/>
      <c r="AG6" s="41"/>
      <c r="AH6" s="81"/>
      <c r="AI6" s="79" t="str">
        <f>_xlfn.IFNA(IF(Tabla1[[#This Row],[FACTURACION]]="SI",INDEX(TABLA.LOCALIDADES[CONTACTO CLIENTE],MATCH(Tabla1[[#This Row],[LOCALIDAD]],TABLA.LOCALIDADES[LOCALIDADES],0)),""),"")</f>
        <v/>
      </c>
      <c r="AJ6" s="79" t="str">
        <f>_xlfn.IFNA(IF(Tabla1[[#This Row],[FACTURACION]]="SI",INDEX(TABLA.LOCALIDADES[CARGO],MATCH(Tabla1[[#This Row],[LOCALIDAD]],TABLA.LOCALIDADES[LOCALIDADES],0)),""),"")</f>
        <v/>
      </c>
      <c r="AK6" s="81"/>
      <c r="AL6" s="92"/>
    </row>
    <row r="7" spans="1:38" ht="32" x14ac:dyDescent="0.2">
      <c r="A7" s="57"/>
      <c r="B7" s="57"/>
      <c r="C7" s="21">
        <f t="shared" si="5"/>
        <v>4</v>
      </c>
      <c r="D7" s="41" t="s">
        <v>2049</v>
      </c>
      <c r="E7" s="44" t="s">
        <v>2479</v>
      </c>
      <c r="F7" s="23" t="str">
        <f>IFERROR(INDEX(CONSULTA_BACKUP[NOMBRE COMPLETO],MATCH(Tabla1[[#This Row],[CEDULA DEL BACKUP]],CONSULTA_BACKUP[CEDULA],0)),"")</f>
        <v>LAUTERIA HERRERA BATISTA</v>
      </c>
      <c r="G7" s="23">
        <f>IFERROR(INDEX(CONSULTA_BACKUP[TELEFONO],MATCH(Tabla1[[#This Row],[CEDULA DEL BACKUP]],CONSULTA_BACKUP[CEDULA],0)),"")</f>
        <v>8296169403</v>
      </c>
      <c r="H7" s="23" t="str">
        <f>IFERROR(INDEX(CONSULTA_BACKUP[BANCO],MATCH(Tabla1[[#This Row],[CEDULA DEL BACKUP]],CONSULTA_BACKUP[CEDULA],0)),"")</f>
        <v>BANCO POPULAR</v>
      </c>
      <c r="I7" s="23" t="str">
        <f>IFERROR(INDEX(CONSULTA_BACKUP[TIPO_CUENTA],MATCH(Tabla1[[#This Row],[CEDULA DEL BACKUP]],CONSULTA_BACKUP[CEDULA],0)),"")</f>
        <v>CUENTA DE AHORRO DOP</v>
      </c>
      <c r="J7" s="23" t="str">
        <f>IFERROR(INDEX(CONSULTA_BACKUP[NUMERO_DE_CUENTA],MATCH(Tabla1[[#This Row],[CEDULA DEL BACKUP]],CONSULTA_BACKUP[CEDULA],0)),"")</f>
        <v>813171733</v>
      </c>
      <c r="K7" s="23" t="str">
        <f>IFERROR(INDEX(CONSULTA_BACKUP[TIPO_SERVICIO_PERSONAL],MATCH(Tabla1[[#This Row],[CEDULA DEL BACKUP]],CONSULTA_BACKUP[CEDULA],0)),"")</f>
        <v>MEDICO GENERAL</v>
      </c>
      <c r="L7" s="23" t="str">
        <f>IF(LEN(Tabla1[[#This Row],[CEDULA DEL BACKUP]])&gt;10,"X","")</f>
        <v>X</v>
      </c>
      <c r="M7" s="41" t="s">
        <v>2056</v>
      </c>
      <c r="N7" s="41" t="s">
        <v>74</v>
      </c>
      <c r="O7" s="89" t="s">
        <v>2018</v>
      </c>
      <c r="P7" s="52" t="str">
        <f>IFERROR(INDEX(CONSULTA_FIJOS[CEDULA],MATCH(Tabla1[[#This Row],[NOMBRE DEL PERSONAL CUBIERTO]],CONSULTA_FIJOS[NOMBRE COMPLETO],0)),"")</f>
        <v>00119134047</v>
      </c>
      <c r="Q7" s="46">
        <v>0.58333333333333337</v>
      </c>
      <c r="R7" s="46">
        <v>0.83333333333333337</v>
      </c>
      <c r="S7" s="81" t="s">
        <v>2189</v>
      </c>
      <c r="T7" s="89" t="s">
        <v>2074</v>
      </c>
      <c r="U7" s="27">
        <f t="shared" si="0"/>
        <v>1</v>
      </c>
      <c r="V7" s="25">
        <f t="shared" si="1"/>
        <v>5</v>
      </c>
      <c r="W7" s="87" t="s">
        <v>2618</v>
      </c>
      <c r="X7" s="61"/>
      <c r="Y7" s="31"/>
      <c r="Z7" s="83">
        <f t="shared" si="2"/>
        <v>500</v>
      </c>
      <c r="AA7" s="26">
        <f t="shared" si="3"/>
        <v>500</v>
      </c>
      <c r="AB7" s="26">
        <f t="shared" si="6"/>
        <v>555.55555555555554</v>
      </c>
      <c r="AC7" s="26">
        <f t="shared" si="7"/>
        <v>55.555555555555557</v>
      </c>
      <c r="AD7" s="26">
        <f t="shared" si="8"/>
        <v>500</v>
      </c>
      <c r="AE7" s="83" t="str">
        <f t="shared" si="4"/>
        <v>X</v>
      </c>
      <c r="AF7" s="81" t="s">
        <v>2626</v>
      </c>
      <c r="AG7" s="41"/>
      <c r="AH7" s="81"/>
      <c r="AI7" s="79" t="str">
        <f>_xlfn.IFNA(IF(Tabla1[[#This Row],[FACTURACION]]="SI",INDEX(TABLA.LOCALIDADES[CONTACTO CLIENTE],MATCH(Tabla1[[#This Row],[LOCALIDAD]],TABLA.LOCALIDADES[LOCALIDADES],0)),""),"")</f>
        <v/>
      </c>
      <c r="AJ7" s="79" t="str">
        <f>_xlfn.IFNA(IF(Tabla1[[#This Row],[FACTURACION]]="SI",INDEX(TABLA.LOCALIDADES[CARGO],MATCH(Tabla1[[#This Row],[LOCALIDAD]],TABLA.LOCALIDADES[LOCALIDADES],0)),""),"")</f>
        <v/>
      </c>
      <c r="AK7" s="81"/>
      <c r="AL7" s="92"/>
    </row>
    <row r="8" spans="1:38" ht="32" x14ac:dyDescent="0.2">
      <c r="A8" s="57"/>
      <c r="B8" s="57"/>
      <c r="C8" s="21">
        <f t="shared" si="5"/>
        <v>5</v>
      </c>
      <c r="D8" s="41" t="s">
        <v>2049</v>
      </c>
      <c r="E8" s="44" t="s">
        <v>572</v>
      </c>
      <c r="F8" s="23" t="str">
        <f>IFERROR(INDEX(CONSULTA_BACKUP[NOMBRE COMPLETO],MATCH(Tabla1[[#This Row],[CEDULA DEL BACKUP]],CONSULTA_BACKUP[CEDULA],0)),"")</f>
        <v>JOHANNY  MÓJICA GARCÉS</v>
      </c>
      <c r="G8" s="23">
        <f>IFERROR(INDEX(CONSULTA_BACKUP[TELEFONO],MATCH(Tabla1[[#This Row],[CEDULA DEL BACKUP]],CONSULTA_BACKUP[CEDULA],0)),"")</f>
        <v>8093063434</v>
      </c>
      <c r="H8" s="23" t="str">
        <f>IFERROR(INDEX(CONSULTA_BACKUP[BANCO],MATCH(Tabla1[[#This Row],[CEDULA DEL BACKUP]],CONSULTA_BACKUP[CEDULA],0)),"")</f>
        <v>BANRESERVAS</v>
      </c>
      <c r="I8" s="23" t="str">
        <f>IFERROR(INDEX(CONSULTA_BACKUP[TIPO_CUENTA],MATCH(Tabla1[[#This Row],[CEDULA DEL BACKUP]],CONSULTA_BACKUP[CEDULA],0)),"")</f>
        <v>CUENTA DE AHORRO DOP</v>
      </c>
      <c r="J8" s="23" t="str">
        <f>IFERROR(INDEX(CONSULTA_BACKUP[NUMERO_DE_CUENTA],MATCH(Tabla1[[#This Row],[CEDULA DEL BACKUP]],CONSULTA_BACKUP[CEDULA],0)),"")</f>
        <v>0810384179</v>
      </c>
      <c r="K8" s="23" t="str">
        <f>IFERROR(INDEX(CONSULTA_BACKUP[TIPO_SERVICIO_PERSONAL],MATCH(Tabla1[[#This Row],[CEDULA DEL BACKUP]],CONSULTA_BACKUP[CEDULA],0)),"")</f>
        <v>MEDICO GENERAL</v>
      </c>
      <c r="L8" s="23" t="str">
        <f>IF(LEN(Tabla1[[#This Row],[CEDULA DEL BACKUP]])&gt;10,"X","")</f>
        <v>X</v>
      </c>
      <c r="M8" s="41" t="s">
        <v>2058</v>
      </c>
      <c r="N8" s="41" t="s">
        <v>60</v>
      </c>
      <c r="O8" s="89"/>
      <c r="P8" s="52" t="str">
        <f>IFERROR(INDEX(CONSULTA_FIJOS[CEDULA],MATCH(Tabla1[[#This Row],[NOMBRE DEL PERSONAL CUBIERTO]],CONSULTA_FIJOS[NOMBRE COMPLETO],0)),"")</f>
        <v/>
      </c>
      <c r="Q8" s="46">
        <v>4.1666666666666664E-2</v>
      </c>
      <c r="R8" s="46">
        <v>0.27777777777777779</v>
      </c>
      <c r="S8" s="81" t="s">
        <v>2631</v>
      </c>
      <c r="T8" s="89" t="s">
        <v>2074</v>
      </c>
      <c r="U8" s="27">
        <f t="shared" si="0"/>
        <v>6</v>
      </c>
      <c r="V8" s="25">
        <f t="shared" si="1"/>
        <v>4.666666666666667</v>
      </c>
      <c r="W8" s="87"/>
      <c r="X8" s="61">
        <v>1000</v>
      </c>
      <c r="Y8" s="31"/>
      <c r="Z8" s="83">
        <f t="shared" si="2"/>
        <v>1000</v>
      </c>
      <c r="AA8" s="26">
        <f t="shared" si="3"/>
        <v>6000</v>
      </c>
      <c r="AB8" s="26">
        <f t="shared" si="6"/>
        <v>6666.6666666666661</v>
      </c>
      <c r="AC8" s="26">
        <f t="shared" si="7"/>
        <v>666.66666666666663</v>
      </c>
      <c r="AD8" s="26">
        <f t="shared" si="8"/>
        <v>5999.9999999999991</v>
      </c>
      <c r="AE8" s="83" t="str">
        <f t="shared" si="4"/>
        <v>X</v>
      </c>
      <c r="AF8" s="81" t="s">
        <v>2623</v>
      </c>
      <c r="AG8" s="41"/>
      <c r="AH8" s="81"/>
      <c r="AI8" s="79" t="str">
        <f>_xlfn.IFNA(IF(Tabla1[[#This Row],[FACTURACION]]="SI",INDEX(TABLA.LOCALIDADES[CONTACTO CLIENTE],MATCH(Tabla1[[#This Row],[LOCALIDAD]],TABLA.LOCALIDADES[LOCALIDADES],0)),""),"")</f>
        <v/>
      </c>
      <c r="AJ8" s="79" t="str">
        <f>_xlfn.IFNA(IF(Tabla1[[#This Row],[FACTURACION]]="SI",INDEX(TABLA.LOCALIDADES[CARGO],MATCH(Tabla1[[#This Row],[LOCALIDAD]],TABLA.LOCALIDADES[LOCALIDADES],0)),""),"")</f>
        <v/>
      </c>
      <c r="AK8" s="81"/>
      <c r="AL8" s="92"/>
    </row>
    <row r="9" spans="1:38" ht="32" x14ac:dyDescent="0.2">
      <c r="A9" s="57"/>
      <c r="B9" s="57"/>
      <c r="C9" s="21">
        <f t="shared" si="5"/>
        <v>6</v>
      </c>
      <c r="D9" s="41" t="s">
        <v>2049</v>
      </c>
      <c r="E9" s="44" t="s">
        <v>1096</v>
      </c>
      <c r="F9" s="23" t="str">
        <f>IFERROR(INDEX(CONSULTA_BACKUP[NOMBRE COMPLETO],MATCH(Tabla1[[#This Row],[CEDULA DEL BACKUP]],CONSULTA_BACKUP[CEDULA],0)),"")</f>
        <v>YELITHZA DE LOS SANTOS VOLQUEZ</v>
      </c>
      <c r="G9" s="23">
        <f>IFERROR(INDEX(CONSULTA_BACKUP[TELEFONO],MATCH(Tabla1[[#This Row],[CEDULA DEL BACKUP]],CONSULTA_BACKUP[CEDULA],0)),"")</f>
        <v>8498762490</v>
      </c>
      <c r="H9" s="23" t="str">
        <f>IFERROR(INDEX(CONSULTA_BACKUP[BANCO],MATCH(Tabla1[[#This Row],[CEDULA DEL BACKUP]],CONSULTA_BACKUP[CEDULA],0)),"")</f>
        <v>BANCO BHDLEON</v>
      </c>
      <c r="I9" s="23" t="str">
        <f>IFERROR(INDEX(CONSULTA_BACKUP[TIPO_CUENTA],MATCH(Tabla1[[#This Row],[CEDULA DEL BACKUP]],CONSULTA_BACKUP[CEDULA],0)),"")</f>
        <v>CUENTA DE AHORRO DOP</v>
      </c>
      <c r="J9" s="23" t="str">
        <f>IFERROR(INDEX(CONSULTA_BACKUP[NUMERO_DE_CUENTA],MATCH(Tabla1[[#This Row],[CEDULA DEL BACKUP]],CONSULTA_BACKUP[CEDULA],0)),"")</f>
        <v>29551420016</v>
      </c>
      <c r="K9" s="23" t="str">
        <f>IFERROR(INDEX(CONSULTA_BACKUP[TIPO_SERVICIO_PERSONAL],MATCH(Tabla1[[#This Row],[CEDULA DEL BACKUP]],CONSULTA_BACKUP[CEDULA],0)),"")</f>
        <v>MEDICO GENERAL</v>
      </c>
      <c r="L9" s="23" t="str">
        <f>IF(LEN(Tabla1[[#This Row],[CEDULA DEL BACKUP]])&gt;10,"X","")</f>
        <v>X</v>
      </c>
      <c r="M9" s="41" t="s">
        <v>2058</v>
      </c>
      <c r="N9" s="41" t="s">
        <v>60</v>
      </c>
      <c r="O9" s="89"/>
      <c r="P9" s="52" t="str">
        <f>IFERROR(INDEX(CONSULTA_FIJOS[CEDULA],MATCH(Tabla1[[#This Row],[NOMBRE DEL PERSONAL CUBIERTO]],CONSULTA_FIJOS[NOMBRE COMPLETO],0)),"")</f>
        <v/>
      </c>
      <c r="Q9" s="46">
        <v>4.1666666666666664E-2</v>
      </c>
      <c r="R9" s="46">
        <v>0.27777777777777779</v>
      </c>
      <c r="S9" s="81" t="s">
        <v>2639</v>
      </c>
      <c r="T9" s="89" t="s">
        <v>2074</v>
      </c>
      <c r="U9" s="27">
        <f t="shared" si="0"/>
        <v>6</v>
      </c>
      <c r="V9" s="25">
        <f t="shared" si="1"/>
        <v>4.666666666666667</v>
      </c>
      <c r="W9" s="87"/>
      <c r="X9" s="61">
        <v>1000</v>
      </c>
      <c r="Y9" s="31"/>
      <c r="Z9" s="83">
        <f t="shared" si="2"/>
        <v>1000</v>
      </c>
      <c r="AA9" s="26">
        <f t="shared" si="3"/>
        <v>6000</v>
      </c>
      <c r="AB9" s="26">
        <f t="shared" si="6"/>
        <v>6666.6666666666661</v>
      </c>
      <c r="AC9" s="26">
        <f t="shared" si="7"/>
        <v>666.66666666666663</v>
      </c>
      <c r="AD9" s="26">
        <f t="shared" si="8"/>
        <v>5999.9999999999991</v>
      </c>
      <c r="AE9" s="83" t="str">
        <f t="shared" si="4"/>
        <v>X</v>
      </c>
      <c r="AF9" s="81" t="s">
        <v>2624</v>
      </c>
      <c r="AG9" s="41"/>
      <c r="AH9" s="81"/>
      <c r="AI9" s="79" t="str">
        <f>_xlfn.IFNA(IF(Tabla1[[#This Row],[FACTURACION]]="SI",INDEX(TABLA.LOCALIDADES[CONTACTO CLIENTE],MATCH(Tabla1[[#This Row],[LOCALIDAD]],TABLA.LOCALIDADES[LOCALIDADES],0)),""),"")</f>
        <v/>
      </c>
      <c r="AJ9" s="79" t="str">
        <f>_xlfn.IFNA(IF(Tabla1[[#This Row],[FACTURACION]]="SI",INDEX(TABLA.LOCALIDADES[CARGO],MATCH(Tabla1[[#This Row],[LOCALIDAD]],TABLA.LOCALIDADES[LOCALIDADES],0)),""),"")</f>
        <v/>
      </c>
      <c r="AK9" s="81"/>
      <c r="AL9" s="92"/>
    </row>
    <row r="10" spans="1:38" ht="32" x14ac:dyDescent="0.2">
      <c r="A10" s="57"/>
      <c r="B10" s="57"/>
      <c r="C10" s="21">
        <f t="shared" si="5"/>
        <v>7</v>
      </c>
      <c r="D10" s="41" t="s">
        <v>2049</v>
      </c>
      <c r="E10" s="44" t="s">
        <v>2586</v>
      </c>
      <c r="F10" s="23" t="str">
        <f>IFERROR(INDEX(CONSULTA_BACKUP[NOMBRE COMPLETO],MATCH(Tabla1[[#This Row],[CEDULA DEL BACKUP]],CONSULTA_BACKUP[CEDULA],0)),"")</f>
        <v>YADARIS CAROLINA RAMIREZ GARCIA</v>
      </c>
      <c r="G10" s="23">
        <f>IFERROR(INDEX(CONSULTA_BACKUP[TELEFONO],MATCH(Tabla1[[#This Row],[CEDULA DEL BACKUP]],CONSULTA_BACKUP[CEDULA],0)),"")</f>
        <v>8297189592</v>
      </c>
      <c r="H10" s="23" t="str">
        <f>IFERROR(INDEX(CONSULTA_BACKUP[BANCO],MATCH(Tabla1[[#This Row],[CEDULA DEL BACKUP]],CONSULTA_BACKUP[CEDULA],0)),"")</f>
        <v>BANRESERVAS</v>
      </c>
      <c r="I10" s="23" t="str">
        <f>IFERROR(INDEX(CONSULTA_BACKUP[TIPO_CUENTA],MATCH(Tabla1[[#This Row],[CEDULA DEL BACKUP]],CONSULTA_BACKUP[CEDULA],0)),"")</f>
        <v>CUENTA DE AHORRO DOP</v>
      </c>
      <c r="J10" s="23" t="str">
        <f>IFERROR(INDEX(CONSULTA_BACKUP[NUMERO_DE_CUENTA],MATCH(Tabla1[[#This Row],[CEDULA DEL BACKUP]],CONSULTA_BACKUP[CEDULA],0)),"")</f>
        <v>401522875</v>
      </c>
      <c r="K10" s="23" t="str">
        <f>IFERROR(INDEX(CONSULTA_BACKUP[TIPO_SERVICIO_PERSONAL],MATCH(Tabla1[[#This Row],[CEDULA DEL BACKUP]],CONSULTA_BACKUP[CEDULA],0)),"")</f>
        <v>MEDICO GENERAL</v>
      </c>
      <c r="L10" s="23" t="str">
        <f>IF(LEN(Tabla1[[#This Row],[CEDULA DEL BACKUP]])&gt;10,"X","")</f>
        <v>X</v>
      </c>
      <c r="M10" s="41" t="s">
        <v>2058</v>
      </c>
      <c r="N10" s="41" t="s">
        <v>70</v>
      </c>
      <c r="O10" s="89"/>
      <c r="P10" s="52" t="str">
        <f>IFERROR(INDEX(CONSULTA_FIJOS[CEDULA],MATCH(Tabla1[[#This Row],[NOMBRE DEL PERSONAL CUBIERTO]],CONSULTA_FIJOS[NOMBRE COMPLETO],0)),"")</f>
        <v/>
      </c>
      <c r="Q10" s="46">
        <v>0.25</v>
      </c>
      <c r="R10" s="46">
        <v>0.45833333333333331</v>
      </c>
      <c r="S10" s="81" t="s">
        <v>44</v>
      </c>
      <c r="T10" s="89" t="s">
        <v>2074</v>
      </c>
      <c r="U10" s="27">
        <f t="shared" si="0"/>
        <v>1</v>
      </c>
      <c r="V10" s="25">
        <f t="shared" si="1"/>
        <v>4</v>
      </c>
      <c r="W10" s="87"/>
      <c r="X10" s="61">
        <v>900</v>
      </c>
      <c r="Y10" s="31"/>
      <c r="Z10" s="83">
        <f t="shared" si="2"/>
        <v>900</v>
      </c>
      <c r="AA10" s="26">
        <f t="shared" si="3"/>
        <v>900</v>
      </c>
      <c r="AB10" s="26">
        <f t="shared" si="6"/>
        <v>1000</v>
      </c>
      <c r="AC10" s="26">
        <f t="shared" si="7"/>
        <v>100</v>
      </c>
      <c r="AD10" s="26">
        <f t="shared" si="8"/>
        <v>900</v>
      </c>
      <c r="AE10" s="83" t="str">
        <f t="shared" si="4"/>
        <v>X</v>
      </c>
      <c r="AF10" s="81"/>
      <c r="AG10" s="41"/>
      <c r="AH10" s="81"/>
      <c r="AI10" s="79" t="str">
        <f>_xlfn.IFNA(IF(Tabla1[[#This Row],[FACTURACION]]="SI",INDEX(TABLA.LOCALIDADES[CONTACTO CLIENTE],MATCH(Tabla1[[#This Row],[LOCALIDAD]],TABLA.LOCALIDADES[LOCALIDADES],0)),""),"")</f>
        <v/>
      </c>
      <c r="AJ10" s="79" t="str">
        <f>_xlfn.IFNA(IF(Tabla1[[#This Row],[FACTURACION]]="SI",INDEX(TABLA.LOCALIDADES[CARGO],MATCH(Tabla1[[#This Row],[LOCALIDAD]],TABLA.LOCALIDADES[LOCALIDADES],0)),""),"")</f>
        <v/>
      </c>
      <c r="AK10" s="81"/>
      <c r="AL10" s="92"/>
    </row>
    <row r="11" spans="1:38" ht="32" x14ac:dyDescent="0.2">
      <c r="A11" s="57"/>
      <c r="B11" s="57"/>
      <c r="C11" s="21">
        <f t="shared" si="5"/>
        <v>8</v>
      </c>
      <c r="D11" s="41" t="s">
        <v>2049</v>
      </c>
      <c r="E11" s="44" t="s">
        <v>2386</v>
      </c>
      <c r="F11" s="23" t="str">
        <f>IFERROR(INDEX(CONSULTA_BACKUP[NOMBRE COMPLETO],MATCH(Tabla1[[#This Row],[CEDULA DEL BACKUP]],CONSULTA_BACKUP[CEDULA],0)),"")</f>
        <v>YOHARDRY MONICA MENDEZ BAUTISTA</v>
      </c>
      <c r="G11" s="23">
        <f>IFERROR(INDEX(CONSULTA_BACKUP[TELEFONO],MATCH(Tabla1[[#This Row],[CEDULA DEL BACKUP]],CONSULTA_BACKUP[CEDULA],0)),"")</f>
        <v>8097073277</v>
      </c>
      <c r="H11" s="23" t="str">
        <f>IFERROR(INDEX(CONSULTA_BACKUP[BANCO],MATCH(Tabla1[[#This Row],[CEDULA DEL BACKUP]],CONSULTA_BACKUP[CEDULA],0)),"")</f>
        <v>BANRESERVAS</v>
      </c>
      <c r="I11" s="23" t="str">
        <f>IFERROR(INDEX(CONSULTA_BACKUP[TIPO_CUENTA],MATCH(Tabla1[[#This Row],[CEDULA DEL BACKUP]],CONSULTA_BACKUP[CEDULA],0)),"")</f>
        <v>CUENTA DE AHORRO DOP</v>
      </c>
      <c r="J11" s="23" t="str">
        <f>IFERROR(INDEX(CONSULTA_BACKUP[NUMERO_DE_CUENTA],MATCH(Tabla1[[#This Row],[CEDULA DEL BACKUP]],CONSULTA_BACKUP[CEDULA],0)),"")</f>
        <v>9603322782</v>
      </c>
      <c r="K11" s="23" t="str">
        <f>IFERROR(INDEX(CONSULTA_BACKUP[TIPO_SERVICIO_PERSONAL],MATCH(Tabla1[[#This Row],[CEDULA DEL BACKUP]],CONSULTA_BACKUP[CEDULA],0)),"")</f>
        <v>MEDICO GENERAL</v>
      </c>
      <c r="L11" s="23" t="str">
        <f>IF(LEN(Tabla1[[#This Row],[CEDULA DEL BACKUP]])&gt;10,"X","")</f>
        <v>X</v>
      </c>
      <c r="M11" s="41" t="s">
        <v>2059</v>
      </c>
      <c r="N11" s="41" t="s">
        <v>108</v>
      </c>
      <c r="O11" s="89" t="s">
        <v>1878</v>
      </c>
      <c r="P11" s="52" t="str">
        <f>IFERROR(INDEX(CONSULTA_FIJOS[CEDULA],MATCH(Tabla1[[#This Row],[NOMBRE DEL PERSONAL CUBIERTO]],CONSULTA_FIJOS[NOMBRE COMPLETO],0)),"")</f>
        <v>00201389343</v>
      </c>
      <c r="Q11" s="46">
        <v>0.375</v>
      </c>
      <c r="R11" s="46">
        <v>0.625</v>
      </c>
      <c r="S11" s="81" t="s">
        <v>2622</v>
      </c>
      <c r="T11" s="89" t="s">
        <v>2074</v>
      </c>
      <c r="U11" s="27">
        <f t="shared" si="0"/>
        <v>6</v>
      </c>
      <c r="V11" s="25">
        <f t="shared" si="1"/>
        <v>6</v>
      </c>
      <c r="W11" s="87" t="s">
        <v>2617</v>
      </c>
      <c r="X11" s="61"/>
      <c r="Y11" s="31"/>
      <c r="Z11" s="83">
        <f t="shared" si="2"/>
        <v>600</v>
      </c>
      <c r="AA11" s="26">
        <f t="shared" si="3"/>
        <v>3600</v>
      </c>
      <c r="AB11" s="26">
        <f t="shared" si="6"/>
        <v>4000</v>
      </c>
      <c r="AC11" s="26">
        <f t="shared" si="7"/>
        <v>400</v>
      </c>
      <c r="AD11" s="26">
        <f t="shared" si="8"/>
        <v>3600</v>
      </c>
      <c r="AE11" s="83" t="str">
        <f t="shared" si="4"/>
        <v>X</v>
      </c>
      <c r="AF11" s="81"/>
      <c r="AG11" s="41"/>
      <c r="AH11" s="81"/>
      <c r="AI11" s="79" t="str">
        <f>_xlfn.IFNA(IF(Tabla1[[#This Row],[FACTURACION]]="SI",INDEX(TABLA.LOCALIDADES[CONTACTO CLIENTE],MATCH(Tabla1[[#This Row],[LOCALIDAD]],TABLA.LOCALIDADES[LOCALIDADES],0)),""),"")</f>
        <v/>
      </c>
      <c r="AJ11" s="79" t="str">
        <f>_xlfn.IFNA(IF(Tabla1[[#This Row],[FACTURACION]]="SI",INDEX(TABLA.LOCALIDADES[CARGO],MATCH(Tabla1[[#This Row],[LOCALIDAD]],TABLA.LOCALIDADES[LOCALIDADES],0)),""),"")</f>
        <v/>
      </c>
      <c r="AK11" s="81"/>
      <c r="AL11" s="92"/>
    </row>
    <row r="12" spans="1:38" ht="32" x14ac:dyDescent="0.2">
      <c r="A12" s="57"/>
      <c r="B12" s="57"/>
      <c r="C12" s="21">
        <f t="shared" si="5"/>
        <v>9</v>
      </c>
      <c r="D12" s="41" t="s">
        <v>2049</v>
      </c>
      <c r="E12" s="44" t="s">
        <v>2386</v>
      </c>
      <c r="F12" s="23" t="str">
        <f>IFERROR(INDEX(CONSULTA_BACKUP[NOMBRE COMPLETO],MATCH(Tabla1[[#This Row],[CEDULA DEL BACKUP]],CONSULTA_BACKUP[CEDULA],0)),"")</f>
        <v>YOHARDRY MONICA MENDEZ BAUTISTA</v>
      </c>
      <c r="G12" s="23">
        <f>IFERROR(INDEX(CONSULTA_BACKUP[TELEFONO],MATCH(Tabla1[[#This Row],[CEDULA DEL BACKUP]],CONSULTA_BACKUP[CEDULA],0)),"")</f>
        <v>8097073277</v>
      </c>
      <c r="H12" s="23" t="str">
        <f>IFERROR(INDEX(CONSULTA_BACKUP[BANCO],MATCH(Tabla1[[#This Row],[CEDULA DEL BACKUP]],CONSULTA_BACKUP[CEDULA],0)),"")</f>
        <v>BANRESERVAS</v>
      </c>
      <c r="I12" s="23" t="str">
        <f>IFERROR(INDEX(CONSULTA_BACKUP[TIPO_CUENTA],MATCH(Tabla1[[#This Row],[CEDULA DEL BACKUP]],CONSULTA_BACKUP[CEDULA],0)),"")</f>
        <v>CUENTA DE AHORRO DOP</v>
      </c>
      <c r="J12" s="23" t="str">
        <f>IFERROR(INDEX(CONSULTA_BACKUP[NUMERO_DE_CUENTA],MATCH(Tabla1[[#This Row],[CEDULA DEL BACKUP]],CONSULTA_BACKUP[CEDULA],0)),"")</f>
        <v>9603322782</v>
      </c>
      <c r="K12" s="23" t="str">
        <f>IFERROR(INDEX(CONSULTA_BACKUP[TIPO_SERVICIO_PERSONAL],MATCH(Tabla1[[#This Row],[CEDULA DEL BACKUP]],CONSULTA_BACKUP[CEDULA],0)),"")</f>
        <v>MEDICO GENERAL</v>
      </c>
      <c r="L12" s="23" t="str">
        <f>IF(LEN(Tabla1[[#This Row],[CEDULA DEL BACKUP]])&gt;10,"X","")</f>
        <v>X</v>
      </c>
      <c r="M12" s="41" t="s">
        <v>2059</v>
      </c>
      <c r="N12" s="41" t="s">
        <v>108</v>
      </c>
      <c r="O12" s="89" t="s">
        <v>1878</v>
      </c>
      <c r="P12" s="52" t="str">
        <f>IFERROR(INDEX(CONSULTA_FIJOS[CEDULA],MATCH(Tabla1[[#This Row],[NOMBRE DEL PERSONAL CUBIERTO]],CONSULTA_FIJOS[NOMBRE COMPLETO],0)),"")</f>
        <v>00201389343</v>
      </c>
      <c r="Q12" s="46">
        <v>0.375</v>
      </c>
      <c r="R12" s="46">
        <v>0.54166666666666663</v>
      </c>
      <c r="S12" s="81" t="s">
        <v>2619</v>
      </c>
      <c r="T12" s="89" t="s">
        <v>2074</v>
      </c>
      <c r="U12" s="27">
        <f t="shared" si="0"/>
        <v>1</v>
      </c>
      <c r="V12" s="25">
        <f t="shared" si="1"/>
        <v>4</v>
      </c>
      <c r="W12" s="87" t="s">
        <v>2617</v>
      </c>
      <c r="X12" s="61"/>
      <c r="Y12" s="31"/>
      <c r="Z12" s="83">
        <f t="shared" si="2"/>
        <v>500</v>
      </c>
      <c r="AA12" s="26">
        <f t="shared" si="3"/>
        <v>500</v>
      </c>
      <c r="AB12" s="26">
        <f t="shared" si="6"/>
        <v>555.55555555555554</v>
      </c>
      <c r="AC12" s="26">
        <f t="shared" si="7"/>
        <v>55.555555555555557</v>
      </c>
      <c r="AD12" s="26">
        <f t="shared" si="8"/>
        <v>500</v>
      </c>
      <c r="AE12" s="83" t="str">
        <f t="shared" si="4"/>
        <v>X</v>
      </c>
      <c r="AF12" s="81"/>
      <c r="AG12" s="41"/>
      <c r="AH12" s="81"/>
      <c r="AI12" s="79" t="str">
        <f>_xlfn.IFNA(IF(Tabla1[[#This Row],[FACTURACION]]="SI",INDEX(TABLA.LOCALIDADES[CONTACTO CLIENTE],MATCH(Tabla1[[#This Row],[LOCALIDAD]],TABLA.LOCALIDADES[LOCALIDADES],0)),""),"")</f>
        <v/>
      </c>
      <c r="AJ12" s="79" t="str">
        <f>_xlfn.IFNA(IF(Tabla1[[#This Row],[FACTURACION]]="SI",INDEX(TABLA.LOCALIDADES[CARGO],MATCH(Tabla1[[#This Row],[LOCALIDAD]],TABLA.LOCALIDADES[LOCALIDADES],0)),""),"")</f>
        <v/>
      </c>
      <c r="AK12" s="81"/>
      <c r="AL12" s="92"/>
    </row>
    <row r="13" spans="1:38" ht="32" x14ac:dyDescent="0.2">
      <c r="A13" s="57"/>
      <c r="B13" s="57"/>
      <c r="C13" s="21">
        <f t="shared" si="5"/>
        <v>10</v>
      </c>
      <c r="D13" s="41" t="s">
        <v>2049</v>
      </c>
      <c r="E13" s="44" t="s">
        <v>2386</v>
      </c>
      <c r="F13" s="23" t="str">
        <f>IFERROR(INDEX(CONSULTA_BACKUP[NOMBRE COMPLETO],MATCH(Tabla1[[#This Row],[CEDULA DEL BACKUP]],CONSULTA_BACKUP[CEDULA],0)),"")</f>
        <v>YOHARDRY MONICA MENDEZ BAUTISTA</v>
      </c>
      <c r="G13" s="23">
        <f>IFERROR(INDEX(CONSULTA_BACKUP[TELEFONO],MATCH(Tabla1[[#This Row],[CEDULA DEL BACKUP]],CONSULTA_BACKUP[CEDULA],0)),"")</f>
        <v>8097073277</v>
      </c>
      <c r="H13" s="23" t="str">
        <f>IFERROR(INDEX(CONSULTA_BACKUP[BANCO],MATCH(Tabla1[[#This Row],[CEDULA DEL BACKUP]],CONSULTA_BACKUP[CEDULA],0)),"")</f>
        <v>BANRESERVAS</v>
      </c>
      <c r="I13" s="23" t="str">
        <f>IFERROR(INDEX(CONSULTA_BACKUP[TIPO_CUENTA],MATCH(Tabla1[[#This Row],[CEDULA DEL BACKUP]],CONSULTA_BACKUP[CEDULA],0)),"")</f>
        <v>CUENTA DE AHORRO DOP</v>
      </c>
      <c r="J13" s="23" t="str">
        <f>IFERROR(INDEX(CONSULTA_BACKUP[NUMERO_DE_CUENTA],MATCH(Tabla1[[#This Row],[CEDULA DEL BACKUP]],CONSULTA_BACKUP[CEDULA],0)),"")</f>
        <v>9603322782</v>
      </c>
      <c r="K13" s="23" t="str">
        <f>IFERROR(INDEX(CONSULTA_BACKUP[TIPO_SERVICIO_PERSONAL],MATCH(Tabla1[[#This Row],[CEDULA DEL BACKUP]],CONSULTA_BACKUP[CEDULA],0)),"")</f>
        <v>MEDICO GENERAL</v>
      </c>
      <c r="L13" s="23" t="str">
        <f>IF(LEN(Tabla1[[#This Row],[CEDULA DEL BACKUP]])&gt;10,"X","")</f>
        <v>X</v>
      </c>
      <c r="M13" s="41" t="s">
        <v>2052</v>
      </c>
      <c r="N13" s="41" t="s">
        <v>108</v>
      </c>
      <c r="O13" s="89"/>
      <c r="P13" s="52" t="str">
        <f>IFERROR(INDEX(CONSULTA_FIJOS[CEDULA],MATCH(Tabla1[[#This Row],[NOMBRE DEL PERSONAL CUBIERTO]],CONSULTA_FIJOS[NOMBRE COMPLETO],0)),"")</f>
        <v/>
      </c>
      <c r="Q13" s="46">
        <v>0.375</v>
      </c>
      <c r="R13" s="46">
        <v>0.54166666666666663</v>
      </c>
      <c r="S13" s="81" t="s">
        <v>2189</v>
      </c>
      <c r="T13" s="89" t="s">
        <v>2074</v>
      </c>
      <c r="U13" s="27">
        <f t="shared" si="0"/>
        <v>1</v>
      </c>
      <c r="V13" s="25">
        <f t="shared" si="1"/>
        <v>3</v>
      </c>
      <c r="W13" s="87"/>
      <c r="X13" s="61"/>
      <c r="Y13" s="31"/>
      <c r="Z13" s="83">
        <f t="shared" si="2"/>
        <v>300</v>
      </c>
      <c r="AA13" s="26">
        <f t="shared" si="3"/>
        <v>300</v>
      </c>
      <c r="AB13" s="26">
        <f t="shared" si="6"/>
        <v>333.33333333333331</v>
      </c>
      <c r="AC13" s="26">
        <f t="shared" si="7"/>
        <v>33.333333333333336</v>
      </c>
      <c r="AD13" s="26">
        <f t="shared" si="8"/>
        <v>300</v>
      </c>
      <c r="AE13" s="83" t="str">
        <f t="shared" si="4"/>
        <v>X</v>
      </c>
      <c r="AF13" s="81"/>
      <c r="AG13" s="41"/>
      <c r="AH13" s="81"/>
      <c r="AI13" s="79" t="str">
        <f>_xlfn.IFNA(IF(Tabla1[[#This Row],[FACTURACION]]="SI",INDEX(TABLA.LOCALIDADES[CONTACTO CLIENTE],MATCH(Tabla1[[#This Row],[LOCALIDAD]],TABLA.LOCALIDADES[LOCALIDADES],0)),""),"")</f>
        <v/>
      </c>
      <c r="AJ13" s="79" t="str">
        <f>_xlfn.IFNA(IF(Tabla1[[#This Row],[FACTURACION]]="SI",INDEX(TABLA.LOCALIDADES[CARGO],MATCH(Tabla1[[#This Row],[LOCALIDAD]],TABLA.LOCALIDADES[LOCALIDADES],0)),""),"")</f>
        <v/>
      </c>
      <c r="AK13" s="81"/>
      <c r="AL13" s="92"/>
    </row>
    <row r="14" spans="1:38" ht="32" x14ac:dyDescent="0.2">
      <c r="A14" s="57"/>
      <c r="B14" s="57"/>
      <c r="C14" s="21">
        <f t="shared" si="5"/>
        <v>11</v>
      </c>
      <c r="D14" s="41" t="s">
        <v>2049</v>
      </c>
      <c r="E14" s="44" t="s">
        <v>1069</v>
      </c>
      <c r="F14" s="23" t="str">
        <f>IFERROR(INDEX(CONSULTA_BACKUP[NOMBRE COMPLETO],MATCH(Tabla1[[#This Row],[CEDULA DEL BACKUP]],CONSULTA_BACKUP[CEDULA],0)),"")</f>
        <v>NARDA MIGUELINA RODRIGUEZ CALDERON</v>
      </c>
      <c r="G14" s="23">
        <f>IFERROR(INDEX(CONSULTA_BACKUP[TELEFONO],MATCH(Tabla1[[#This Row],[CEDULA DEL BACKUP]],CONSULTA_BACKUP[CEDULA],0)),"")</f>
        <v>8292679521</v>
      </c>
      <c r="H14" s="23" t="str">
        <f>IFERROR(INDEX(CONSULTA_BACKUP[BANCO],MATCH(Tabla1[[#This Row],[CEDULA DEL BACKUP]],CONSULTA_BACKUP[CEDULA],0)),"")</f>
        <v>BANCO BHDLEON</v>
      </c>
      <c r="I14" s="23" t="str">
        <f>IFERROR(INDEX(CONSULTA_BACKUP[TIPO_CUENTA],MATCH(Tabla1[[#This Row],[CEDULA DEL BACKUP]],CONSULTA_BACKUP[CEDULA],0)),"")</f>
        <v>CUENTA DE AHORRO DOP</v>
      </c>
      <c r="J14" s="23" t="str">
        <f>IFERROR(INDEX(CONSULTA_BACKUP[NUMERO_DE_CUENTA],MATCH(Tabla1[[#This Row],[CEDULA DEL BACKUP]],CONSULTA_BACKUP[CEDULA],0)),"")</f>
        <v>24824650026</v>
      </c>
      <c r="K14" s="23" t="str">
        <f>IFERROR(INDEX(CONSULTA_BACKUP[TIPO_SERVICIO_PERSONAL],MATCH(Tabla1[[#This Row],[CEDULA DEL BACKUP]],CONSULTA_BACKUP[CEDULA],0)),"")</f>
        <v>ENFERMERA</v>
      </c>
      <c r="L14" s="23" t="str">
        <f>IF(LEN(Tabla1[[#This Row],[CEDULA DEL BACKUP]])&gt;10,"X","")</f>
        <v>X</v>
      </c>
      <c r="M14" s="41" t="s">
        <v>2052</v>
      </c>
      <c r="N14" s="41" t="s">
        <v>62</v>
      </c>
      <c r="O14" s="89"/>
      <c r="P14" s="52" t="str">
        <f>IFERROR(INDEX(CONSULTA_FIJOS[CEDULA],MATCH(Tabla1[[#This Row],[NOMBRE DEL PERSONAL CUBIERTO]],CONSULTA_FIJOS[NOMBRE COMPLETO],0)),"")</f>
        <v/>
      </c>
      <c r="Q14" s="46">
        <v>0.29166666666666669</v>
      </c>
      <c r="R14" s="46">
        <v>0.79166666666666663</v>
      </c>
      <c r="S14" s="81" t="s">
        <v>2621</v>
      </c>
      <c r="T14" s="89" t="s">
        <v>2074</v>
      </c>
      <c r="U14" s="27">
        <f t="shared" si="0"/>
        <v>2</v>
      </c>
      <c r="V14" s="25">
        <f t="shared" si="1"/>
        <v>12</v>
      </c>
      <c r="W14" s="87" t="s">
        <v>2617</v>
      </c>
      <c r="X14" s="61"/>
      <c r="Y14" s="31"/>
      <c r="Z14" s="83">
        <f t="shared" si="2"/>
        <v>300</v>
      </c>
      <c r="AA14" s="26">
        <f t="shared" si="3"/>
        <v>600</v>
      </c>
      <c r="AB14" s="26">
        <f t="shared" si="6"/>
        <v>666.66666666666663</v>
      </c>
      <c r="AC14" s="26">
        <f t="shared" si="7"/>
        <v>66.666666666666671</v>
      </c>
      <c r="AD14" s="26">
        <f t="shared" si="8"/>
        <v>600</v>
      </c>
      <c r="AE14" s="83" t="str">
        <f t="shared" si="4"/>
        <v>X</v>
      </c>
      <c r="AF14" s="81"/>
      <c r="AG14" s="41"/>
      <c r="AH14" s="81"/>
      <c r="AI14" s="79" t="str">
        <f>_xlfn.IFNA(IF(Tabla1[[#This Row],[FACTURACION]]="SI",INDEX(TABLA.LOCALIDADES[CONTACTO CLIENTE],MATCH(Tabla1[[#This Row],[LOCALIDAD]],TABLA.LOCALIDADES[LOCALIDADES],0)),""),"")</f>
        <v/>
      </c>
      <c r="AJ14" s="79" t="str">
        <f>_xlfn.IFNA(IF(Tabla1[[#This Row],[FACTURACION]]="SI",INDEX(TABLA.LOCALIDADES[CARGO],MATCH(Tabla1[[#This Row],[LOCALIDAD]],TABLA.LOCALIDADES[LOCALIDADES],0)),""),"")</f>
        <v/>
      </c>
      <c r="AK14" s="81"/>
      <c r="AL14" s="92"/>
    </row>
    <row r="15" spans="1:38" ht="32" x14ac:dyDescent="0.2">
      <c r="A15" s="57"/>
      <c r="B15" s="57"/>
      <c r="C15" s="21">
        <f t="shared" si="5"/>
        <v>12</v>
      </c>
      <c r="D15" s="41" t="s">
        <v>2049</v>
      </c>
      <c r="E15" s="44" t="s">
        <v>1069</v>
      </c>
      <c r="F15" s="23" t="str">
        <f>IFERROR(INDEX(CONSULTA_BACKUP[NOMBRE COMPLETO],MATCH(Tabla1[[#This Row],[CEDULA DEL BACKUP]],CONSULTA_BACKUP[CEDULA],0)),"")</f>
        <v>NARDA MIGUELINA RODRIGUEZ CALDERON</v>
      </c>
      <c r="G15" s="23">
        <f>IFERROR(INDEX(CONSULTA_BACKUP[TELEFONO],MATCH(Tabla1[[#This Row],[CEDULA DEL BACKUP]],CONSULTA_BACKUP[CEDULA],0)),"")</f>
        <v>8292679521</v>
      </c>
      <c r="H15" s="23" t="str">
        <f>IFERROR(INDEX(CONSULTA_BACKUP[BANCO],MATCH(Tabla1[[#This Row],[CEDULA DEL BACKUP]],CONSULTA_BACKUP[CEDULA],0)),"")</f>
        <v>BANCO BHDLEON</v>
      </c>
      <c r="I15" s="23" t="str">
        <f>IFERROR(INDEX(CONSULTA_BACKUP[TIPO_CUENTA],MATCH(Tabla1[[#This Row],[CEDULA DEL BACKUP]],CONSULTA_BACKUP[CEDULA],0)),"")</f>
        <v>CUENTA DE AHORRO DOP</v>
      </c>
      <c r="J15" s="23" t="str">
        <f>IFERROR(INDEX(CONSULTA_BACKUP[NUMERO_DE_CUENTA],MATCH(Tabla1[[#This Row],[CEDULA DEL BACKUP]],CONSULTA_BACKUP[CEDULA],0)),"")</f>
        <v>24824650026</v>
      </c>
      <c r="K15" s="23" t="str">
        <f>IFERROR(INDEX(CONSULTA_BACKUP[TIPO_SERVICIO_PERSONAL],MATCH(Tabla1[[#This Row],[CEDULA DEL BACKUP]],CONSULTA_BACKUP[CEDULA],0)),"")</f>
        <v>ENFERMERA</v>
      </c>
      <c r="L15" s="23" t="str">
        <f>IF(LEN(Tabla1[[#This Row],[CEDULA DEL BACKUP]])&gt;10,"X","")</f>
        <v>X</v>
      </c>
      <c r="M15" s="41" t="s">
        <v>2059</v>
      </c>
      <c r="N15" s="41" t="s">
        <v>62</v>
      </c>
      <c r="O15" s="89" t="s">
        <v>2009</v>
      </c>
      <c r="P15" s="52" t="str">
        <f>IFERROR(INDEX(CONSULTA_FIJOS[CEDULA],MATCH(Tabla1[[#This Row],[NOMBRE DEL PERSONAL CUBIERTO]],CONSULTA_FIJOS[NOMBRE COMPLETO],0)),"")</f>
        <v>00200437689</v>
      </c>
      <c r="Q15" s="46">
        <v>0.29166666666666669</v>
      </c>
      <c r="R15" s="46">
        <v>0.79166666666666663</v>
      </c>
      <c r="S15" s="81" t="s">
        <v>2620</v>
      </c>
      <c r="T15" s="89" t="s">
        <v>2074</v>
      </c>
      <c r="U15" s="27">
        <f t="shared" si="0"/>
        <v>4</v>
      </c>
      <c r="V15" s="25">
        <f t="shared" si="1"/>
        <v>12</v>
      </c>
      <c r="W15" s="87" t="s">
        <v>2617</v>
      </c>
      <c r="X15" s="61"/>
      <c r="Y15" s="31"/>
      <c r="Z15" s="83">
        <f t="shared" si="2"/>
        <v>900</v>
      </c>
      <c r="AA15" s="26">
        <f t="shared" si="3"/>
        <v>3600</v>
      </c>
      <c r="AB15" s="26">
        <f t="shared" si="6"/>
        <v>4000</v>
      </c>
      <c r="AC15" s="26">
        <f t="shared" si="7"/>
        <v>400</v>
      </c>
      <c r="AD15" s="26">
        <f t="shared" si="8"/>
        <v>3600</v>
      </c>
      <c r="AE15" s="83" t="str">
        <f t="shared" si="4"/>
        <v>X</v>
      </c>
      <c r="AF15" s="81"/>
      <c r="AG15" s="41"/>
      <c r="AH15" s="81"/>
      <c r="AI15" s="79" t="str">
        <f>_xlfn.IFNA(IF(Tabla1[[#This Row],[FACTURACION]]="SI",INDEX(TABLA.LOCALIDADES[CONTACTO CLIENTE],MATCH(Tabla1[[#This Row],[LOCALIDAD]],TABLA.LOCALIDADES[LOCALIDADES],0)),""),"")</f>
        <v/>
      </c>
      <c r="AJ15" s="79" t="str">
        <f>_xlfn.IFNA(IF(Tabla1[[#This Row],[FACTURACION]]="SI",INDEX(TABLA.LOCALIDADES[CARGO],MATCH(Tabla1[[#This Row],[LOCALIDAD]],TABLA.LOCALIDADES[LOCALIDADES],0)),""),"")</f>
        <v/>
      </c>
      <c r="AK15" s="81"/>
      <c r="AL15" s="92"/>
    </row>
    <row r="16" spans="1:38" ht="32" x14ac:dyDescent="0.2">
      <c r="A16" s="57" t="s">
        <v>2627</v>
      </c>
      <c r="B16" s="57" t="s">
        <v>2628</v>
      </c>
      <c r="C16" s="21">
        <f t="shared" si="5"/>
        <v>13</v>
      </c>
      <c r="D16" s="41" t="s">
        <v>2049</v>
      </c>
      <c r="E16" s="44" t="s">
        <v>663</v>
      </c>
      <c r="F16" s="23" t="str">
        <f>IFERROR(INDEX(CONSULTA_BACKUP[NOMBRE COMPLETO],MATCH(Tabla1[[#This Row],[CEDULA DEL BACKUP]],CONSULTA_BACKUP[CEDULA],0)),"")</f>
        <v>MARIA NELIS CABRERA CONTRERAS</v>
      </c>
      <c r="G16" s="23">
        <f>IFERROR(INDEX(CONSULTA_BACKUP[TELEFONO],MATCH(Tabla1[[#This Row],[CEDULA DEL BACKUP]],CONSULTA_BACKUP[CEDULA],0)),"")</f>
        <v>8295432093</v>
      </c>
      <c r="H16" s="23" t="str">
        <f>IFERROR(INDEX(CONSULTA_BACKUP[BANCO],MATCH(Tabla1[[#This Row],[CEDULA DEL BACKUP]],CONSULTA_BACKUP[CEDULA],0)),"")</f>
        <v>N/A</v>
      </c>
      <c r="I16" s="23" t="str">
        <f>IFERROR(INDEX(CONSULTA_BACKUP[TIPO_CUENTA],MATCH(Tabla1[[#This Row],[CEDULA DEL BACKUP]],CONSULTA_BACKUP[CEDULA],0)),"")</f>
        <v>CHEQUE</v>
      </c>
      <c r="J16" s="23">
        <f>IFERROR(INDEX(CONSULTA_BACKUP[NUMERO_DE_CUENTA],MATCH(Tabla1[[#This Row],[CEDULA DEL BACKUP]],CONSULTA_BACKUP[CEDULA],0)),"")</f>
        <v>0</v>
      </c>
      <c r="K16" s="23" t="str">
        <f>IFERROR(INDEX(CONSULTA_BACKUP[TIPO_SERVICIO_PERSONAL],MATCH(Tabla1[[#This Row],[CEDULA DEL BACKUP]],CONSULTA_BACKUP[CEDULA],0)),"")</f>
        <v>ENFERMERA</v>
      </c>
      <c r="L16" s="23" t="str">
        <f>IF(LEN(Tabla1[[#This Row],[CEDULA DEL BACKUP]])&gt;10,"X","")</f>
        <v>X</v>
      </c>
      <c r="M16" s="41" t="s">
        <v>2059</v>
      </c>
      <c r="N16" s="41" t="s">
        <v>63</v>
      </c>
      <c r="O16" s="89" t="s">
        <v>2017</v>
      </c>
      <c r="P16" s="52" t="str">
        <f>IFERROR(INDEX(CONSULTA_FIJOS[CEDULA],MATCH(Tabla1[[#This Row],[NOMBRE DEL PERSONAL CUBIERTO]],CONSULTA_FIJOS[NOMBRE COMPLETO],0)),"")</f>
        <v>00112370705</v>
      </c>
      <c r="Q16" s="46">
        <v>0.79166666666666663</v>
      </c>
      <c r="R16" s="46">
        <v>0.29166666666666669</v>
      </c>
      <c r="S16" s="81" t="s">
        <v>2638</v>
      </c>
      <c r="T16" s="89" t="s">
        <v>2074</v>
      </c>
      <c r="U16" s="27">
        <f t="shared" si="0"/>
        <v>4</v>
      </c>
      <c r="V16" s="25">
        <f t="shared" si="1"/>
        <v>12</v>
      </c>
      <c r="W16" s="87" t="s">
        <v>2617</v>
      </c>
      <c r="X16" s="61"/>
      <c r="Y16" s="31"/>
      <c r="Z16" s="83">
        <f t="shared" si="2"/>
        <v>900</v>
      </c>
      <c r="AA16" s="26">
        <f t="shared" si="3"/>
        <v>3600</v>
      </c>
      <c r="AB16" s="26">
        <f t="shared" si="6"/>
        <v>4000</v>
      </c>
      <c r="AC16" s="26">
        <f t="shared" si="7"/>
        <v>400</v>
      </c>
      <c r="AD16" s="26">
        <f t="shared" si="8"/>
        <v>3600</v>
      </c>
      <c r="AE16" s="83" t="str">
        <f t="shared" si="4"/>
        <v>X</v>
      </c>
      <c r="AF16" s="81"/>
      <c r="AG16" s="41"/>
      <c r="AH16" s="81"/>
      <c r="AI16" s="79" t="str">
        <f>_xlfn.IFNA(IF(Tabla1[[#This Row],[FACTURACION]]="SI",INDEX(TABLA.LOCALIDADES[CONTACTO CLIENTE],MATCH(Tabla1[[#This Row],[LOCALIDAD]],TABLA.LOCALIDADES[LOCALIDADES],0)),""),"")</f>
        <v/>
      </c>
      <c r="AJ16" s="79" t="str">
        <f>_xlfn.IFNA(IF(Tabla1[[#This Row],[FACTURACION]]="SI",INDEX(TABLA.LOCALIDADES[CARGO],MATCH(Tabla1[[#This Row],[LOCALIDAD]],TABLA.LOCALIDADES[LOCALIDADES],0)),""),"")</f>
        <v/>
      </c>
      <c r="AK16" s="81"/>
      <c r="AL16" s="92"/>
    </row>
    <row r="17" spans="1:38" ht="32" x14ac:dyDescent="0.2">
      <c r="A17" s="57" t="s">
        <v>2633</v>
      </c>
      <c r="B17" s="57" t="s">
        <v>2634</v>
      </c>
      <c r="C17" s="21">
        <f t="shared" si="5"/>
        <v>14</v>
      </c>
      <c r="D17" s="41" t="s">
        <v>2049</v>
      </c>
      <c r="E17" s="44" t="s">
        <v>2479</v>
      </c>
      <c r="F17" s="23" t="str">
        <f>IFERROR(INDEX(CONSULTA_BACKUP[NOMBRE COMPLETO],MATCH(Tabla1[[#This Row],[CEDULA DEL BACKUP]],CONSULTA_BACKUP[CEDULA],0)),"")</f>
        <v>LAUTERIA HERRERA BATISTA</v>
      </c>
      <c r="G17" s="23">
        <f>IFERROR(INDEX(CONSULTA_BACKUP[TELEFONO],MATCH(Tabla1[[#This Row],[CEDULA DEL BACKUP]],CONSULTA_BACKUP[CEDULA],0)),"")</f>
        <v>8296169403</v>
      </c>
      <c r="H17" s="23" t="str">
        <f>IFERROR(INDEX(CONSULTA_BACKUP[BANCO],MATCH(Tabla1[[#This Row],[CEDULA DEL BACKUP]],CONSULTA_BACKUP[CEDULA],0)),"")</f>
        <v>BANCO POPULAR</v>
      </c>
      <c r="I17" s="23" t="str">
        <f>IFERROR(INDEX(CONSULTA_BACKUP[TIPO_CUENTA],MATCH(Tabla1[[#This Row],[CEDULA DEL BACKUP]],CONSULTA_BACKUP[CEDULA],0)),"")</f>
        <v>CUENTA DE AHORRO DOP</v>
      </c>
      <c r="J17" s="23" t="str">
        <f>IFERROR(INDEX(CONSULTA_BACKUP[NUMERO_DE_CUENTA],MATCH(Tabla1[[#This Row],[CEDULA DEL BACKUP]],CONSULTA_BACKUP[CEDULA],0)),"")</f>
        <v>813171733</v>
      </c>
      <c r="K17" s="23" t="str">
        <f>IFERROR(INDEX(CONSULTA_BACKUP[TIPO_SERVICIO_PERSONAL],MATCH(Tabla1[[#This Row],[CEDULA DEL BACKUP]],CONSULTA_BACKUP[CEDULA],0)),"")</f>
        <v>MEDICO GENERAL</v>
      </c>
      <c r="L17" s="23" t="str">
        <f>IF(LEN(Tabla1[[#This Row],[CEDULA DEL BACKUP]])&gt;10,"X","")</f>
        <v>X</v>
      </c>
      <c r="M17" s="41" t="s">
        <v>2055</v>
      </c>
      <c r="N17" s="41" t="s">
        <v>74</v>
      </c>
      <c r="O17" s="89" t="s">
        <v>1327</v>
      </c>
      <c r="P17" s="52" t="str">
        <f>IFERROR(INDEX(CONSULTA_FIJOS[CEDULA],MATCH(Tabla1[[#This Row],[NOMBRE DEL PERSONAL CUBIERTO]],CONSULTA_FIJOS[NOMBRE COMPLETO],0)),"")</f>
        <v>00119089712</v>
      </c>
      <c r="Q17" s="46">
        <v>0.33333333333333331</v>
      </c>
      <c r="R17" s="46">
        <v>0.75</v>
      </c>
      <c r="S17" s="81" t="s">
        <v>2632</v>
      </c>
      <c r="T17" s="89" t="s">
        <v>2073</v>
      </c>
      <c r="U17" s="27">
        <f t="shared" si="0"/>
        <v>2</v>
      </c>
      <c r="V17" s="25">
        <f t="shared" si="1"/>
        <v>10</v>
      </c>
      <c r="W17" s="87" t="s">
        <v>2617</v>
      </c>
      <c r="X17" s="61"/>
      <c r="Y17" s="31"/>
      <c r="Z17" s="83">
        <f t="shared" si="2"/>
        <v>1000</v>
      </c>
      <c r="AA17" s="26">
        <f t="shared" si="3"/>
        <v>2000</v>
      </c>
      <c r="AB17" s="26">
        <f t="shared" si="6"/>
        <v>2222.2222222222222</v>
      </c>
      <c r="AC17" s="26">
        <f t="shared" si="7"/>
        <v>222.22222222222223</v>
      </c>
      <c r="AD17" s="26">
        <f t="shared" si="8"/>
        <v>2000</v>
      </c>
      <c r="AE17" s="83" t="str">
        <f t="shared" si="4"/>
        <v>X</v>
      </c>
      <c r="AF17" s="81" t="s">
        <v>2636</v>
      </c>
      <c r="AG17" s="41"/>
      <c r="AH17" s="81"/>
      <c r="AI17" s="79" t="str">
        <f>_xlfn.IFNA(IF(Tabla1[[#This Row],[FACTURACION]]="SI",INDEX(TABLA.LOCALIDADES[CONTACTO CLIENTE],MATCH(Tabla1[[#This Row],[LOCALIDAD]],TABLA.LOCALIDADES[LOCALIDADES],0)),""),"")</f>
        <v/>
      </c>
      <c r="AJ17" s="79" t="str">
        <f>_xlfn.IFNA(IF(Tabla1[[#This Row],[FACTURACION]]="SI",INDEX(TABLA.LOCALIDADES[CARGO],MATCH(Tabla1[[#This Row],[LOCALIDAD]],TABLA.LOCALIDADES[LOCALIDADES],0)),""),"")</f>
        <v/>
      </c>
      <c r="AK17" s="81"/>
      <c r="AL17" s="92"/>
    </row>
    <row r="18" spans="1:38" ht="32" x14ac:dyDescent="0.2">
      <c r="A18" s="57" t="s">
        <v>2633</v>
      </c>
      <c r="B18" s="57" t="s">
        <v>2635</v>
      </c>
      <c r="C18" s="21">
        <f t="shared" si="5"/>
        <v>15</v>
      </c>
      <c r="D18" s="41" t="s">
        <v>2049</v>
      </c>
      <c r="E18" s="44" t="s">
        <v>2479</v>
      </c>
      <c r="F18" s="23" t="str">
        <f>IFERROR(INDEX(CONSULTA_BACKUP[NOMBRE COMPLETO],MATCH(Tabla1[[#This Row],[CEDULA DEL BACKUP]],CONSULTA_BACKUP[CEDULA],0)),"")</f>
        <v>LAUTERIA HERRERA BATISTA</v>
      </c>
      <c r="G18" s="23">
        <f>IFERROR(INDEX(CONSULTA_BACKUP[TELEFONO],MATCH(Tabla1[[#This Row],[CEDULA DEL BACKUP]],CONSULTA_BACKUP[CEDULA],0)),"")</f>
        <v>8296169403</v>
      </c>
      <c r="H18" s="23" t="str">
        <f>IFERROR(INDEX(CONSULTA_BACKUP[BANCO],MATCH(Tabla1[[#This Row],[CEDULA DEL BACKUP]],CONSULTA_BACKUP[CEDULA],0)),"")</f>
        <v>BANCO POPULAR</v>
      </c>
      <c r="I18" s="23" t="str">
        <f>IFERROR(INDEX(CONSULTA_BACKUP[TIPO_CUENTA],MATCH(Tabla1[[#This Row],[CEDULA DEL BACKUP]],CONSULTA_BACKUP[CEDULA],0)),"")</f>
        <v>CUENTA DE AHORRO DOP</v>
      </c>
      <c r="J18" s="23" t="str">
        <f>IFERROR(INDEX(CONSULTA_BACKUP[NUMERO_DE_CUENTA],MATCH(Tabla1[[#This Row],[CEDULA DEL BACKUP]],CONSULTA_BACKUP[CEDULA],0)),"")</f>
        <v>813171733</v>
      </c>
      <c r="K18" s="23" t="str">
        <f>IFERROR(INDEX(CONSULTA_BACKUP[TIPO_SERVICIO_PERSONAL],MATCH(Tabla1[[#This Row],[CEDULA DEL BACKUP]],CONSULTA_BACKUP[CEDULA],0)),"")</f>
        <v>MEDICO GENERAL</v>
      </c>
      <c r="L18" s="23" t="str">
        <f>IF(LEN(Tabla1[[#This Row],[CEDULA DEL BACKUP]])&gt;10,"X","")</f>
        <v>X</v>
      </c>
      <c r="M18" s="41" t="s">
        <v>2055</v>
      </c>
      <c r="N18" s="41" t="s">
        <v>74</v>
      </c>
      <c r="O18" s="89" t="s">
        <v>1327</v>
      </c>
      <c r="P18" s="52" t="str">
        <f>IFERROR(INDEX(CONSULTA_FIJOS[CEDULA],MATCH(Tabla1[[#This Row],[NOMBRE DEL PERSONAL CUBIERTO]],CONSULTA_FIJOS[NOMBRE COMPLETO],0)),"")</f>
        <v>00119089712</v>
      </c>
      <c r="Q18" s="46">
        <v>0.33333333333333331</v>
      </c>
      <c r="R18" s="46">
        <v>0.83333333333333337</v>
      </c>
      <c r="S18" s="81" t="s">
        <v>2222</v>
      </c>
      <c r="T18" s="89" t="s">
        <v>2073</v>
      </c>
      <c r="U18" s="27">
        <f t="shared" si="0"/>
        <v>1</v>
      </c>
      <c r="V18" s="25">
        <f t="shared" si="1"/>
        <v>12</v>
      </c>
      <c r="W18" s="87" t="s">
        <v>2617</v>
      </c>
      <c r="X18" s="61"/>
      <c r="Y18" s="31"/>
      <c r="Z18" s="83">
        <f t="shared" si="2"/>
        <v>1200</v>
      </c>
      <c r="AA18" s="26">
        <f t="shared" si="3"/>
        <v>1200</v>
      </c>
      <c r="AB18" s="26">
        <f t="shared" si="6"/>
        <v>1333.3333333333333</v>
      </c>
      <c r="AC18" s="26">
        <f t="shared" si="7"/>
        <v>133.33333333333334</v>
      </c>
      <c r="AD18" s="26">
        <f t="shared" si="8"/>
        <v>1200</v>
      </c>
      <c r="AE18" s="83" t="str">
        <f t="shared" si="4"/>
        <v>X</v>
      </c>
      <c r="AF18" s="81" t="s">
        <v>2636</v>
      </c>
      <c r="AG18" s="41"/>
      <c r="AH18" s="81"/>
      <c r="AI18" s="79" t="str">
        <f>_xlfn.IFNA(IF(Tabla1[[#This Row],[FACTURACION]]="SI",INDEX(TABLA.LOCALIDADES[CONTACTO CLIENTE],MATCH(Tabla1[[#This Row],[LOCALIDAD]],TABLA.LOCALIDADES[LOCALIDADES],0)),""),"")</f>
        <v/>
      </c>
      <c r="AJ18" s="79" t="str">
        <f>_xlfn.IFNA(IF(Tabla1[[#This Row],[FACTURACION]]="SI",INDEX(TABLA.LOCALIDADES[CARGO],MATCH(Tabla1[[#This Row],[LOCALIDAD]],TABLA.LOCALIDADES[LOCALIDADES],0)),""),"")</f>
        <v/>
      </c>
      <c r="AK18" s="81"/>
      <c r="AL18" s="92"/>
    </row>
    <row r="19" spans="1:38" ht="32" x14ac:dyDescent="0.2">
      <c r="A19" s="57" t="s">
        <v>2633</v>
      </c>
      <c r="B19" s="57" t="s">
        <v>2637</v>
      </c>
      <c r="C19" s="21">
        <f t="shared" si="5"/>
        <v>16</v>
      </c>
      <c r="D19" s="41" t="s">
        <v>2049</v>
      </c>
      <c r="E19" s="44" t="s">
        <v>572</v>
      </c>
      <c r="F19" s="23" t="str">
        <f>IFERROR(INDEX(CONSULTA_BACKUP[NOMBRE COMPLETO],MATCH(Tabla1[[#This Row],[CEDULA DEL BACKUP]],CONSULTA_BACKUP[CEDULA],0)),"")</f>
        <v>JOHANNY  MÓJICA GARCÉS</v>
      </c>
      <c r="G19" s="23">
        <f>IFERROR(INDEX(CONSULTA_BACKUP[TELEFONO],MATCH(Tabla1[[#This Row],[CEDULA DEL BACKUP]],CONSULTA_BACKUP[CEDULA],0)),"")</f>
        <v>8093063434</v>
      </c>
      <c r="H19" s="23" t="str">
        <f>IFERROR(INDEX(CONSULTA_BACKUP[BANCO],MATCH(Tabla1[[#This Row],[CEDULA DEL BACKUP]],CONSULTA_BACKUP[CEDULA],0)),"")</f>
        <v>BANRESERVAS</v>
      </c>
      <c r="I19" s="23" t="str">
        <f>IFERROR(INDEX(CONSULTA_BACKUP[TIPO_CUENTA],MATCH(Tabla1[[#This Row],[CEDULA DEL BACKUP]],CONSULTA_BACKUP[CEDULA],0)),"")</f>
        <v>CUENTA DE AHORRO DOP</v>
      </c>
      <c r="J19" s="23" t="str">
        <f>IFERROR(INDEX(CONSULTA_BACKUP[NUMERO_DE_CUENTA],MATCH(Tabla1[[#This Row],[CEDULA DEL BACKUP]],CONSULTA_BACKUP[CEDULA],0)),"")</f>
        <v>0810384179</v>
      </c>
      <c r="K19" s="23" t="str">
        <f>IFERROR(INDEX(CONSULTA_BACKUP[TIPO_SERVICIO_PERSONAL],MATCH(Tabla1[[#This Row],[CEDULA DEL BACKUP]],CONSULTA_BACKUP[CEDULA],0)),"")</f>
        <v>MEDICO GENERAL</v>
      </c>
      <c r="L19" s="23" t="str">
        <f>IF(LEN(Tabla1[[#This Row],[CEDULA DEL BACKUP]])&gt;10,"X","")</f>
        <v>X</v>
      </c>
      <c r="M19" s="41" t="s">
        <v>2058</v>
      </c>
      <c r="N19" s="41" t="s">
        <v>74</v>
      </c>
      <c r="O19" s="89"/>
      <c r="P19" s="52" t="str">
        <f>IFERROR(INDEX(CONSULTA_FIJOS[CEDULA],MATCH(Tabla1[[#This Row],[NOMBRE DEL PERSONAL CUBIERTO]],CONSULTA_FIJOS[NOMBRE COMPLETO],0)),"")</f>
        <v/>
      </c>
      <c r="Q19" s="46">
        <v>4.1666666666666664E-2</v>
      </c>
      <c r="R19" s="46">
        <v>0.27777777777777779</v>
      </c>
      <c r="S19" s="81" t="s">
        <v>2222</v>
      </c>
      <c r="T19" s="89" t="s">
        <v>2073</v>
      </c>
      <c r="U19" s="27">
        <f t="shared" si="0"/>
        <v>1</v>
      </c>
      <c r="V19" s="25">
        <f t="shared" si="1"/>
        <v>4.666666666666667</v>
      </c>
      <c r="W19" s="87"/>
      <c r="X19" s="61"/>
      <c r="Y19" s="31"/>
      <c r="Z19" s="83">
        <f t="shared" si="2"/>
        <v>466.66666666666669</v>
      </c>
      <c r="AA19" s="26">
        <f t="shared" si="3"/>
        <v>466.66666666666669</v>
      </c>
      <c r="AB19" s="26">
        <f t="shared" si="6"/>
        <v>518.51851851851848</v>
      </c>
      <c r="AC19" s="26">
        <f t="shared" si="7"/>
        <v>51.851851851851848</v>
      </c>
      <c r="AD19" s="26">
        <f t="shared" si="8"/>
        <v>466.66666666666663</v>
      </c>
      <c r="AE19" s="83" t="str">
        <f t="shared" si="4"/>
        <v>X</v>
      </c>
      <c r="AF19" s="81"/>
      <c r="AG19" s="41"/>
      <c r="AH19" s="81"/>
      <c r="AI19" s="79" t="str">
        <f>_xlfn.IFNA(IF(Tabla1[[#This Row],[FACTURACION]]="SI",INDEX(TABLA.LOCALIDADES[CONTACTO CLIENTE],MATCH(Tabla1[[#This Row],[LOCALIDAD]],TABLA.LOCALIDADES[LOCALIDADES],0)),""),"")</f>
        <v/>
      </c>
      <c r="AJ19" s="79" t="str">
        <f>_xlfn.IFNA(IF(Tabla1[[#This Row],[FACTURACION]]="SI",INDEX(TABLA.LOCALIDADES[CARGO],MATCH(Tabla1[[#This Row],[LOCALIDAD]],TABLA.LOCALIDADES[LOCALIDADES],0)),""),"")</f>
        <v/>
      </c>
      <c r="AK19" s="81"/>
      <c r="AL19" s="92"/>
    </row>
    <row r="20" spans="1:38" ht="16" x14ac:dyDescent="0.2">
      <c r="A20" s="57"/>
      <c r="B20" s="57"/>
      <c r="C20" s="21" t="str">
        <f t="shared" si="5"/>
        <v/>
      </c>
      <c r="D20" s="41"/>
      <c r="E20" s="44"/>
      <c r="F20" s="23" t="str">
        <f>IFERROR(INDEX(CONSULTA_BACKUP[NOMBRE COMPLETO],MATCH(Tabla1[[#This Row],[CEDULA DEL BACKUP]],CONSULTA_BACKUP[CEDULA],0)),"")</f>
        <v/>
      </c>
      <c r="G20" s="23" t="str">
        <f>IFERROR(INDEX(CONSULTA_BACKUP[TELEFONO],MATCH(Tabla1[[#This Row],[CEDULA DEL BACKUP]],CONSULTA_BACKUP[CEDULA],0)),"")</f>
        <v/>
      </c>
      <c r="H20" s="23" t="str">
        <f>IFERROR(INDEX(CONSULTA_BACKUP[BANCO],MATCH(Tabla1[[#This Row],[CEDULA DEL BACKUP]],CONSULTA_BACKUP[CEDULA],0)),"")</f>
        <v/>
      </c>
      <c r="I20" s="23" t="str">
        <f>IFERROR(INDEX(CONSULTA_BACKUP[TIPO_CUENTA],MATCH(Tabla1[[#This Row],[CEDULA DEL BACKUP]],CONSULTA_BACKUP[CEDULA],0)),"")</f>
        <v/>
      </c>
      <c r="J20" s="23" t="str">
        <f>IFERROR(INDEX(CONSULTA_BACKUP[NUMERO_DE_CUENTA],MATCH(Tabla1[[#This Row],[CEDULA DEL BACKUP]],CONSULTA_BACKUP[CEDULA],0)),"")</f>
        <v/>
      </c>
      <c r="K20" s="23" t="str">
        <f>IFERROR(INDEX(CONSULTA_BACKUP[TIPO_SERVICIO_PERSONAL],MATCH(Tabla1[[#This Row],[CEDULA DEL BACKUP]],CONSULTA_BACKUP[CEDULA],0)),"")</f>
        <v/>
      </c>
      <c r="L20" s="23" t="str">
        <f>IF(LEN(Tabla1[[#This Row],[CEDULA DEL BACKUP]])&gt;10,"X","")</f>
        <v/>
      </c>
      <c r="M20" s="41"/>
      <c r="N20" s="41"/>
      <c r="O20" s="89"/>
      <c r="P20" s="52" t="str">
        <f>IFERROR(INDEX(CONSULTA_FIJOS[CEDULA],MATCH(Tabla1[[#This Row],[NOMBRE DEL PERSONAL CUBIERTO]],CONSULTA_FIJOS[NOMBRE COMPLETO],0)),"")</f>
        <v/>
      </c>
      <c r="Q20" s="46"/>
      <c r="R20" s="46"/>
      <c r="S20" s="81"/>
      <c r="T20" s="89"/>
      <c r="U20" s="27" t="str">
        <f t="shared" si="0"/>
        <v/>
      </c>
      <c r="V20" s="25" t="str">
        <f t="shared" si="1"/>
        <v/>
      </c>
      <c r="W20" s="87"/>
      <c r="X20" s="61"/>
      <c r="Y20" s="31"/>
      <c r="Z20" s="83" t="str">
        <f t="shared" si="2"/>
        <v/>
      </c>
      <c r="AA20" s="26" t="str">
        <f t="shared" si="3"/>
        <v/>
      </c>
      <c r="AB20" s="26" t="str">
        <f t="shared" si="6"/>
        <v/>
      </c>
      <c r="AC20" s="26" t="str">
        <f t="shared" si="7"/>
        <v/>
      </c>
      <c r="AD20" s="26" t="str">
        <f t="shared" si="8"/>
        <v/>
      </c>
      <c r="AE20" s="83" t="str">
        <f t="shared" si="4"/>
        <v/>
      </c>
      <c r="AF20" s="81"/>
      <c r="AG20" s="41"/>
      <c r="AH20" s="81"/>
      <c r="AI20" s="79" t="str">
        <f>_xlfn.IFNA(IF(Tabla1[[#This Row],[FACTURACION]]="SI",INDEX(TABLA.LOCALIDADES[CONTACTO CLIENTE],MATCH(Tabla1[[#This Row],[LOCALIDAD]],TABLA.LOCALIDADES[LOCALIDADES],0)),""),"")</f>
        <v/>
      </c>
      <c r="AJ20" s="79" t="str">
        <f>_xlfn.IFNA(IF(Tabla1[[#This Row],[FACTURACION]]="SI",INDEX(TABLA.LOCALIDADES[CARGO],MATCH(Tabla1[[#This Row],[LOCALIDAD]],TABLA.LOCALIDADES[LOCALIDADES],0)),""),"")</f>
        <v/>
      </c>
      <c r="AK20" s="81"/>
      <c r="AL20" s="92"/>
    </row>
    <row r="21" spans="1:38" ht="16" x14ac:dyDescent="0.2">
      <c r="A21" s="57"/>
      <c r="B21" s="57"/>
      <c r="C21" s="21" t="str">
        <f t="shared" si="5"/>
        <v/>
      </c>
      <c r="D21" s="41"/>
      <c r="E21" s="44"/>
      <c r="F21" s="23" t="str">
        <f>IFERROR(INDEX(CONSULTA_BACKUP[NOMBRE COMPLETO],MATCH(Tabla1[[#This Row],[CEDULA DEL BACKUP]],CONSULTA_BACKUP[CEDULA],0)),"")</f>
        <v/>
      </c>
      <c r="G21" s="23" t="str">
        <f>IFERROR(INDEX(CONSULTA_BACKUP[TELEFONO],MATCH(Tabla1[[#This Row],[CEDULA DEL BACKUP]],CONSULTA_BACKUP[CEDULA],0)),"")</f>
        <v/>
      </c>
      <c r="H21" s="23" t="str">
        <f>IFERROR(INDEX(CONSULTA_BACKUP[BANCO],MATCH(Tabla1[[#This Row],[CEDULA DEL BACKUP]],CONSULTA_BACKUP[CEDULA],0)),"")</f>
        <v/>
      </c>
      <c r="I21" s="23" t="str">
        <f>IFERROR(INDEX(CONSULTA_BACKUP[TIPO_CUENTA],MATCH(Tabla1[[#This Row],[CEDULA DEL BACKUP]],CONSULTA_BACKUP[CEDULA],0)),"")</f>
        <v/>
      </c>
      <c r="J21" s="23" t="str">
        <f>IFERROR(INDEX(CONSULTA_BACKUP[NUMERO_DE_CUENTA],MATCH(Tabla1[[#This Row],[CEDULA DEL BACKUP]],CONSULTA_BACKUP[CEDULA],0)),"")</f>
        <v/>
      </c>
      <c r="K21" s="23" t="str">
        <f>IFERROR(INDEX(CONSULTA_BACKUP[TIPO_SERVICIO_PERSONAL],MATCH(Tabla1[[#This Row],[CEDULA DEL BACKUP]],CONSULTA_BACKUP[CEDULA],0)),"")</f>
        <v/>
      </c>
      <c r="L21" s="23" t="str">
        <f>IF(LEN(Tabla1[[#This Row],[CEDULA DEL BACKUP]])&gt;10,"X","")</f>
        <v/>
      </c>
      <c r="M21" s="41"/>
      <c r="N21" s="41"/>
      <c r="O21" s="89"/>
      <c r="P21" s="52" t="str">
        <f>IFERROR(INDEX(CONSULTA_FIJOS[CEDULA],MATCH(Tabla1[[#This Row],[NOMBRE DEL PERSONAL CUBIERTO]],CONSULTA_FIJOS[NOMBRE COMPLETO],0)),"")</f>
        <v/>
      </c>
      <c r="Q21" s="46"/>
      <c r="R21" s="46"/>
      <c r="S21" s="81"/>
      <c r="T21" s="89"/>
      <c r="U21" s="27" t="str">
        <f t="shared" si="0"/>
        <v/>
      </c>
      <c r="V21" s="25" t="str">
        <f t="shared" si="1"/>
        <v/>
      </c>
      <c r="W21" s="87"/>
      <c r="X21" s="61"/>
      <c r="Y21" s="31"/>
      <c r="Z21" s="83" t="str">
        <f t="shared" si="2"/>
        <v/>
      </c>
      <c r="AA21" s="26" t="str">
        <f t="shared" si="3"/>
        <v/>
      </c>
      <c r="AB21" s="26" t="str">
        <f t="shared" si="6"/>
        <v/>
      </c>
      <c r="AC21" s="26" t="str">
        <f t="shared" si="7"/>
        <v/>
      </c>
      <c r="AD21" s="26" t="str">
        <f t="shared" si="8"/>
        <v/>
      </c>
      <c r="AE21" s="83" t="str">
        <f t="shared" si="4"/>
        <v/>
      </c>
      <c r="AF21" s="81"/>
      <c r="AG21" s="41"/>
      <c r="AH21" s="81"/>
      <c r="AI21" s="79" t="str">
        <f>_xlfn.IFNA(IF(Tabla1[[#This Row],[FACTURACION]]="SI",INDEX(TABLA.LOCALIDADES[CONTACTO CLIENTE],MATCH(Tabla1[[#This Row],[LOCALIDAD]],TABLA.LOCALIDADES[LOCALIDADES],0)),""),"")</f>
        <v/>
      </c>
      <c r="AJ21" s="79" t="str">
        <f>_xlfn.IFNA(IF(Tabla1[[#This Row],[FACTURACION]]="SI",INDEX(TABLA.LOCALIDADES[CARGO],MATCH(Tabla1[[#This Row],[LOCALIDAD]],TABLA.LOCALIDADES[LOCALIDADES],0)),""),"")</f>
        <v/>
      </c>
      <c r="AK21" s="81"/>
      <c r="AL21" s="92"/>
    </row>
    <row r="22" spans="1:38" ht="16" x14ac:dyDescent="0.2">
      <c r="A22" s="57"/>
      <c r="B22" s="57"/>
      <c r="C22" s="21" t="str">
        <f t="shared" si="5"/>
        <v/>
      </c>
      <c r="D22" s="41"/>
      <c r="E22" s="44"/>
      <c r="F22" s="23" t="str">
        <f>IFERROR(INDEX(CONSULTA_BACKUP[NOMBRE COMPLETO],MATCH(Tabla1[[#This Row],[CEDULA DEL BACKUP]],CONSULTA_BACKUP[CEDULA],0)),"")</f>
        <v/>
      </c>
      <c r="G22" s="23" t="str">
        <f>IFERROR(INDEX(CONSULTA_BACKUP[TELEFONO],MATCH(Tabla1[[#This Row],[CEDULA DEL BACKUP]],CONSULTA_BACKUP[CEDULA],0)),"")</f>
        <v/>
      </c>
      <c r="H22" s="23" t="str">
        <f>IFERROR(INDEX(CONSULTA_BACKUP[BANCO],MATCH(Tabla1[[#This Row],[CEDULA DEL BACKUP]],CONSULTA_BACKUP[CEDULA],0)),"")</f>
        <v/>
      </c>
      <c r="I22" s="23" t="str">
        <f>IFERROR(INDEX(CONSULTA_BACKUP[TIPO_CUENTA],MATCH(Tabla1[[#This Row],[CEDULA DEL BACKUP]],CONSULTA_BACKUP[CEDULA],0)),"")</f>
        <v/>
      </c>
      <c r="J22" s="23" t="str">
        <f>IFERROR(INDEX(CONSULTA_BACKUP[NUMERO_DE_CUENTA],MATCH(Tabla1[[#This Row],[CEDULA DEL BACKUP]],CONSULTA_BACKUP[CEDULA],0)),"")</f>
        <v/>
      </c>
      <c r="K22" s="23" t="str">
        <f>IFERROR(INDEX(CONSULTA_BACKUP[TIPO_SERVICIO_PERSONAL],MATCH(Tabla1[[#This Row],[CEDULA DEL BACKUP]],CONSULTA_BACKUP[CEDULA],0)),"")</f>
        <v/>
      </c>
      <c r="L22" s="23" t="str">
        <f>IF(LEN(Tabla1[[#This Row],[CEDULA DEL BACKUP]])&gt;10,"X","")</f>
        <v/>
      </c>
      <c r="M22" s="41"/>
      <c r="N22" s="41"/>
      <c r="O22" s="89"/>
      <c r="P22" s="52" t="str">
        <f>IFERROR(INDEX(CONSULTA_FIJOS[CEDULA],MATCH(Tabla1[[#This Row],[NOMBRE DEL PERSONAL CUBIERTO]],CONSULTA_FIJOS[NOMBRE COMPLETO],0)),"")</f>
        <v/>
      </c>
      <c r="Q22" s="46"/>
      <c r="R22" s="46"/>
      <c r="S22" s="81"/>
      <c r="T22" s="89"/>
      <c r="U22" s="27" t="str">
        <f t="shared" si="0"/>
        <v/>
      </c>
      <c r="V22" s="25" t="str">
        <f t="shared" si="1"/>
        <v/>
      </c>
      <c r="W22" s="87"/>
      <c r="X22" s="61"/>
      <c r="Y22" s="31"/>
      <c r="Z22" s="83" t="str">
        <f t="shared" si="2"/>
        <v/>
      </c>
      <c r="AA22" s="26" t="str">
        <f t="shared" si="3"/>
        <v/>
      </c>
      <c r="AB22" s="26" t="str">
        <f t="shared" si="6"/>
        <v/>
      </c>
      <c r="AC22" s="26" t="str">
        <f t="shared" si="7"/>
        <v/>
      </c>
      <c r="AD22" s="26" t="str">
        <f t="shared" si="8"/>
        <v/>
      </c>
      <c r="AE22" s="83" t="str">
        <f t="shared" si="4"/>
        <v/>
      </c>
      <c r="AF22" s="81"/>
      <c r="AG22" s="41"/>
      <c r="AH22" s="81"/>
      <c r="AI22" s="79" t="str">
        <f>_xlfn.IFNA(IF(Tabla1[[#This Row],[FACTURACION]]="SI",INDEX(TABLA.LOCALIDADES[CONTACTO CLIENTE],MATCH(Tabla1[[#This Row],[LOCALIDAD]],TABLA.LOCALIDADES[LOCALIDADES],0)),""),"")</f>
        <v/>
      </c>
      <c r="AJ22" s="79" t="str">
        <f>_xlfn.IFNA(IF(Tabla1[[#This Row],[FACTURACION]]="SI",INDEX(TABLA.LOCALIDADES[CARGO],MATCH(Tabla1[[#This Row],[LOCALIDAD]],TABLA.LOCALIDADES[LOCALIDADES],0)),""),"")</f>
        <v/>
      </c>
      <c r="AK22" s="81"/>
      <c r="AL22" s="92"/>
    </row>
    <row r="23" spans="1:38" ht="16" x14ac:dyDescent="0.2">
      <c r="A23" s="58"/>
      <c r="B23" s="58"/>
      <c r="C23" s="22" t="str">
        <f t="shared" si="5"/>
        <v/>
      </c>
      <c r="D23" s="42"/>
      <c r="E23" s="45"/>
      <c r="F23" s="24" t="str">
        <f>IFERROR(INDEX(CONSULTA_BACKUP[NOMBRE COMPLETO],MATCH(Tabla1[[#This Row],[CEDULA DEL BACKUP]],CONSULTA_BACKUP[CEDULA],0)),"")</f>
        <v/>
      </c>
      <c r="G23" s="24" t="str">
        <f>IFERROR(INDEX(CONSULTA_BACKUP[TELEFONO],MATCH(Tabla1[[#This Row],[CEDULA DEL BACKUP]],CONSULTA_BACKUP[CEDULA],0)),"")</f>
        <v/>
      </c>
      <c r="H23" s="24" t="str">
        <f>IFERROR(INDEX(CONSULTA_BACKUP[BANCO],MATCH(Tabla1[[#This Row],[CEDULA DEL BACKUP]],CONSULTA_BACKUP[CEDULA],0)),"")</f>
        <v/>
      </c>
      <c r="I23" s="24" t="str">
        <f>IFERROR(INDEX(CONSULTA_BACKUP[TIPO_CUENTA],MATCH(Tabla1[[#This Row],[CEDULA DEL BACKUP]],CONSULTA_BACKUP[CEDULA],0)),"")</f>
        <v/>
      </c>
      <c r="J23" s="24" t="str">
        <f>IFERROR(INDEX(CONSULTA_BACKUP[NUMERO_DE_CUENTA],MATCH(Tabla1[[#This Row],[CEDULA DEL BACKUP]],CONSULTA_BACKUP[CEDULA],0)),"")</f>
        <v/>
      </c>
      <c r="K23" s="24" t="str">
        <f>IFERROR(INDEX(CONSULTA_BACKUP[TIPO_SERVICIO_PERSONAL],MATCH(Tabla1[[#This Row],[CEDULA DEL BACKUP]],CONSULTA_BACKUP[CEDULA],0)),"")</f>
        <v/>
      </c>
      <c r="L23" s="24" t="str">
        <f>IF(LEN(Tabla1[[#This Row],[CEDULA DEL BACKUP]])&gt;10,"X","")</f>
        <v/>
      </c>
      <c r="M23" s="42"/>
      <c r="N23" s="42"/>
      <c r="O23" s="90"/>
      <c r="P23" s="53" t="str">
        <f>IFERROR(INDEX(CONSULTA_FIJOS[CEDULA],MATCH(Tabla1[[#This Row],[NOMBRE DEL PERSONAL CUBIERTO]],CONSULTA_FIJOS[NOMBRE COMPLETO],0)),"")</f>
        <v/>
      </c>
      <c r="Q23" s="47"/>
      <c r="R23" s="47"/>
      <c r="S23" s="82"/>
      <c r="T23" s="90"/>
      <c r="U23" s="28" t="str">
        <f t="shared" si="0"/>
        <v/>
      </c>
      <c r="V23" s="29" t="str">
        <f t="shared" si="1"/>
        <v/>
      </c>
      <c r="W23" s="88"/>
      <c r="X23" s="61"/>
      <c r="Y23" s="31"/>
      <c r="Z23" s="84" t="str">
        <f t="shared" si="2"/>
        <v/>
      </c>
      <c r="AA23" s="30" t="str">
        <f t="shared" si="3"/>
        <v/>
      </c>
      <c r="AB23" s="30" t="str">
        <f t="shared" si="6"/>
        <v/>
      </c>
      <c r="AC23" s="30" t="str">
        <f t="shared" si="7"/>
        <v/>
      </c>
      <c r="AD23" s="30" t="str">
        <f t="shared" si="8"/>
        <v/>
      </c>
      <c r="AE23" s="84" t="str">
        <f t="shared" si="4"/>
        <v/>
      </c>
      <c r="AF23" s="82"/>
      <c r="AG23" s="42"/>
      <c r="AH23" s="82"/>
      <c r="AI23" s="80" t="str">
        <f>_xlfn.IFNA(IF(Tabla1[[#This Row],[FACTURACION]]="SI",INDEX(TABLA.LOCALIDADES[CONTACTO CLIENTE],MATCH(Tabla1[[#This Row],[LOCALIDAD]],TABLA.LOCALIDADES[LOCALIDADES],0)),""),"")</f>
        <v/>
      </c>
      <c r="AJ23" s="80" t="str">
        <f>_xlfn.IFNA(IF(Tabla1[[#This Row],[FACTURACION]]="SI",INDEX(TABLA.LOCALIDADES[CARGO],MATCH(Tabla1[[#This Row],[LOCALIDAD]],TABLA.LOCALIDADES[LOCALIDADES],0)),""),"")</f>
        <v/>
      </c>
      <c r="AK23" s="81"/>
      <c r="AL23" s="92"/>
    </row>
    <row r="24" spans="1:38" ht="16" x14ac:dyDescent="0.2">
      <c r="A24" s="57"/>
      <c r="B24" s="57"/>
      <c r="C24" s="27" t="str">
        <f t="shared" ref="C24:C33" si="9">IF(D24="","",ROW(C21))</f>
        <v/>
      </c>
      <c r="D24" s="41"/>
      <c r="E24" s="44"/>
      <c r="F24" s="27" t="str">
        <f>IFERROR(INDEX(CONSULTA_BACKUP[NOMBRE COMPLETO],MATCH(Tabla1[[#This Row],[CEDULA DEL BACKUP]],CONSULTA_BACKUP[CEDULA],0)),"")</f>
        <v/>
      </c>
      <c r="G24" s="27" t="str">
        <f>IFERROR(INDEX(CONSULTA_BACKUP[TELEFONO],MATCH(Tabla1[[#This Row],[CEDULA DEL BACKUP]],CONSULTA_BACKUP[CEDULA],0)),"")</f>
        <v/>
      </c>
      <c r="H24" s="27" t="str">
        <f>IFERROR(INDEX(CONSULTA_BACKUP[BANCO],MATCH(Tabla1[[#This Row],[CEDULA DEL BACKUP]],CONSULTA_BACKUP[CEDULA],0)),"")</f>
        <v/>
      </c>
      <c r="I24" s="27" t="str">
        <f>IFERROR(INDEX(CONSULTA_BACKUP[TIPO_CUENTA],MATCH(Tabla1[[#This Row],[CEDULA DEL BACKUP]],CONSULTA_BACKUP[CEDULA],0)),"")</f>
        <v/>
      </c>
      <c r="J24" s="27" t="str">
        <f>IFERROR(INDEX(CONSULTA_BACKUP[NUMERO_DE_CUENTA],MATCH(Tabla1[[#This Row],[CEDULA DEL BACKUP]],CONSULTA_BACKUP[CEDULA],0)),"")</f>
        <v/>
      </c>
      <c r="K24" s="27" t="str">
        <f>IFERROR(INDEX(CONSULTA_BACKUP[TIPO_SERVICIO_PERSONAL],MATCH(Tabla1[[#This Row],[CEDULA DEL BACKUP]],CONSULTA_BACKUP[CEDULA],0)),"")</f>
        <v/>
      </c>
      <c r="L24" s="23" t="str">
        <f>IF(LEN(Tabla1[[#This Row],[CEDULA DEL BACKUP]])&gt;10,"X","")</f>
        <v/>
      </c>
      <c r="M24" s="41"/>
      <c r="N24" s="41"/>
      <c r="O24" s="89"/>
      <c r="P24" s="63" t="str">
        <f>IFERROR(INDEX(CONSULTA_FIJOS[CEDULA],MATCH(Tabla1[[#This Row],[NOMBRE DEL PERSONAL CUBIERTO]],CONSULTA_FIJOS[NOMBRE COMPLETO],0)),"")</f>
        <v/>
      </c>
      <c r="Q24" s="46"/>
      <c r="R24" s="46"/>
      <c r="S24" s="81"/>
      <c r="T24" s="89"/>
      <c r="U24" s="27" t="str">
        <f t="shared" ref="U24:U33" si="10">IF(S24="","",IF(AND(ISNUMBER(VALUE(S24)),LEN(S24)&lt;3),1,
IF(ISNUMBER(SEARCH(";",S24,1)),LEN(S24)-LEN(SUBSTITUTE(S24,";",""))+1,
IF(ISNUMBER(SEARCH(",",S24,1)),LEN(S24)-LEN(SUBSTITUTE(S24,",",""))+1,
IF(ISNUMBER(SEARCH("-",S24,1)),LEN(S24)-LEN(SUBSTITUTE(S24,"-",""))+1,
IF(ISNUMBER(SEARCH("/",S24,1)),LEN(S24)-LEN(SUBSTITUTE(S24,"/",""))+1))))))</f>
        <v/>
      </c>
      <c r="V24" s="25" t="str">
        <f t="shared" si="1"/>
        <v/>
      </c>
      <c r="W24" s="87"/>
      <c r="X24" s="61"/>
      <c r="Y24" s="64"/>
      <c r="Z24" s="85" t="str">
        <f t="shared" ref="Z24:Z33" si="11">IF(X24&lt;&gt;0,X24,
IF(M24="ENTRENAMIENTO",300,
IF(V24="","",IF(ISNUMBER(V24),
IF(AND(K24="MEDICO GENERAL",V24=4),500,
IF(AND(K24="MEDICO GENERAL",V24&lt;4),V24*100,
IF(AND(K24="MEDICO GENERAL",V24&gt;4),V24*100,
IF(AND(K24="ENFERMERA",V24=4),375,
IF(AND(K24="ENFERMERA",V24&lt;4),V24*75,
IF(AND(K24="ENFERMERA",V24&gt;4),V24*75,
IF(AND(K24="ODONTOLOGO",V24=4),800,
IF(AND(K24="ODONTOLOGO",V24&lt;4),V24*200,
IF(AND(K24="ODONTOLOGO",V24&gt;4),V24*200,V24)))))))))))))</f>
        <v/>
      </c>
      <c r="AA24" s="65" t="str">
        <f t="shared" ref="AA24:AA33" si="12">IFERROR((VALUE(U24)*VALUE(Z24))+VALUE(Y24),"")</f>
        <v/>
      </c>
      <c r="AB24" s="65" t="str">
        <f t="shared" ref="AB24:AB33" si="13">IFERROR(AA24/0.9,"")</f>
        <v/>
      </c>
      <c r="AC24" s="65" t="str">
        <f t="shared" ref="AC24:AC33" si="14">IFERROR(AB24*0.1,"")</f>
        <v/>
      </c>
      <c r="AD24" s="65" t="str">
        <f t="shared" ref="AD24:AD33" si="15">IFERROR(AB24-AC24,"")</f>
        <v/>
      </c>
      <c r="AE24" s="85" t="str">
        <f t="shared" ref="AE24:AE33" si="16">IF(AND(U24&lt;&gt;"",V24&lt;&gt;""),"X","")</f>
        <v/>
      </c>
      <c r="AF24" s="81"/>
      <c r="AG24" s="41"/>
      <c r="AH24" s="81"/>
      <c r="AI24" s="79" t="str">
        <f>_xlfn.IFNA(IF(Tabla1[[#This Row],[FACTURACION]]="SI",INDEX(TABLA.LOCALIDADES[CONTACTO CLIENTE],MATCH(Tabla1[[#This Row],[LOCALIDAD]],TABLA.LOCALIDADES[LOCALIDADES],0)),""),"")</f>
        <v/>
      </c>
      <c r="AJ24" s="79" t="str">
        <f>_xlfn.IFNA(IF(Tabla1[[#This Row],[FACTURACION]]="SI",INDEX(TABLA.LOCALIDADES[CARGO],MATCH(Tabla1[[#This Row],[LOCALIDAD]],TABLA.LOCALIDADES[LOCALIDADES],0)),""),"")</f>
        <v/>
      </c>
      <c r="AK24" s="81"/>
      <c r="AL24" s="92"/>
    </row>
    <row r="25" spans="1:38" ht="16" x14ac:dyDescent="0.2">
      <c r="A25" s="57"/>
      <c r="B25" s="57"/>
      <c r="C25" s="27" t="str">
        <f t="shared" si="9"/>
        <v/>
      </c>
      <c r="D25" s="41"/>
      <c r="E25" s="44"/>
      <c r="F25" s="27" t="str">
        <f>IFERROR(INDEX(CONSULTA_BACKUP[NOMBRE COMPLETO],MATCH(Tabla1[[#This Row],[CEDULA DEL BACKUP]],CONSULTA_BACKUP[CEDULA],0)),"")</f>
        <v/>
      </c>
      <c r="G25" s="27" t="str">
        <f>IFERROR(INDEX(CONSULTA_BACKUP[TELEFONO],MATCH(Tabla1[[#This Row],[CEDULA DEL BACKUP]],CONSULTA_BACKUP[CEDULA],0)),"")</f>
        <v/>
      </c>
      <c r="H25" s="27" t="str">
        <f>IFERROR(INDEX(CONSULTA_BACKUP[BANCO],MATCH(Tabla1[[#This Row],[CEDULA DEL BACKUP]],CONSULTA_BACKUP[CEDULA],0)),"")</f>
        <v/>
      </c>
      <c r="I25" s="27" t="str">
        <f>IFERROR(INDEX(CONSULTA_BACKUP[TIPO_CUENTA],MATCH(Tabla1[[#This Row],[CEDULA DEL BACKUP]],CONSULTA_BACKUP[CEDULA],0)),"")</f>
        <v/>
      </c>
      <c r="J25" s="27" t="str">
        <f>IFERROR(INDEX(CONSULTA_BACKUP[NUMERO_DE_CUENTA],MATCH(Tabla1[[#This Row],[CEDULA DEL BACKUP]],CONSULTA_BACKUP[CEDULA],0)),"")</f>
        <v/>
      </c>
      <c r="K25" s="27" t="str">
        <f>IFERROR(INDEX(CONSULTA_BACKUP[TIPO_SERVICIO_PERSONAL],MATCH(Tabla1[[#This Row],[CEDULA DEL BACKUP]],CONSULTA_BACKUP[CEDULA],0)),"")</f>
        <v/>
      </c>
      <c r="L25" s="23" t="str">
        <f>IF(LEN(Tabla1[[#This Row],[CEDULA DEL BACKUP]])&gt;10,"X","")</f>
        <v/>
      </c>
      <c r="M25" s="41"/>
      <c r="N25" s="41"/>
      <c r="O25" s="89"/>
      <c r="P25" s="63" t="str">
        <f>IFERROR(INDEX(CONSULTA_FIJOS[CEDULA],MATCH(Tabla1[[#This Row],[NOMBRE DEL PERSONAL CUBIERTO]],CONSULTA_FIJOS[NOMBRE COMPLETO],0)),"")</f>
        <v/>
      </c>
      <c r="Q25" s="46"/>
      <c r="R25" s="46"/>
      <c r="S25" s="81"/>
      <c r="T25" s="89"/>
      <c r="U25" s="27" t="str">
        <f t="shared" si="10"/>
        <v/>
      </c>
      <c r="V25" s="25" t="str">
        <f t="shared" si="1"/>
        <v/>
      </c>
      <c r="W25" s="87"/>
      <c r="X25" s="61"/>
      <c r="Y25" s="64"/>
      <c r="Z25" s="85" t="str">
        <f t="shared" si="11"/>
        <v/>
      </c>
      <c r="AA25" s="65" t="str">
        <f t="shared" si="12"/>
        <v/>
      </c>
      <c r="AB25" s="65" t="str">
        <f t="shared" si="13"/>
        <v/>
      </c>
      <c r="AC25" s="65" t="str">
        <f t="shared" si="14"/>
        <v/>
      </c>
      <c r="AD25" s="65" t="str">
        <f t="shared" si="15"/>
        <v/>
      </c>
      <c r="AE25" s="85" t="str">
        <f t="shared" si="16"/>
        <v/>
      </c>
      <c r="AF25" s="81"/>
      <c r="AG25" s="41"/>
      <c r="AH25" s="81"/>
      <c r="AI25" s="79" t="str">
        <f>_xlfn.IFNA(IF(Tabla1[[#This Row],[FACTURACION]]="SI",INDEX(TABLA.LOCALIDADES[CONTACTO CLIENTE],MATCH(Tabla1[[#This Row],[LOCALIDAD]],TABLA.LOCALIDADES[LOCALIDADES],0)),""),"")</f>
        <v/>
      </c>
      <c r="AJ25" s="79" t="str">
        <f>_xlfn.IFNA(IF(Tabla1[[#This Row],[FACTURACION]]="SI",INDEX(TABLA.LOCALIDADES[CARGO],MATCH(Tabla1[[#This Row],[LOCALIDAD]],TABLA.LOCALIDADES[LOCALIDADES],0)),""),"")</f>
        <v/>
      </c>
      <c r="AK25" s="81"/>
      <c r="AL25" s="92"/>
    </row>
    <row r="26" spans="1:38" ht="16" x14ac:dyDescent="0.2">
      <c r="A26" s="57"/>
      <c r="B26" s="57"/>
      <c r="C26" s="27" t="str">
        <f t="shared" si="9"/>
        <v/>
      </c>
      <c r="D26" s="41"/>
      <c r="E26" s="44"/>
      <c r="F26" s="27" t="str">
        <f>IFERROR(INDEX(CONSULTA_BACKUP[NOMBRE COMPLETO],MATCH(Tabla1[[#This Row],[CEDULA DEL BACKUP]],CONSULTA_BACKUP[CEDULA],0)),"")</f>
        <v/>
      </c>
      <c r="G26" s="27" t="str">
        <f>IFERROR(INDEX(CONSULTA_BACKUP[TELEFONO],MATCH(Tabla1[[#This Row],[CEDULA DEL BACKUP]],CONSULTA_BACKUP[CEDULA],0)),"")</f>
        <v/>
      </c>
      <c r="H26" s="27" t="str">
        <f>IFERROR(INDEX(CONSULTA_BACKUP[BANCO],MATCH(Tabla1[[#This Row],[CEDULA DEL BACKUP]],CONSULTA_BACKUP[CEDULA],0)),"")</f>
        <v/>
      </c>
      <c r="I26" s="27" t="str">
        <f>IFERROR(INDEX(CONSULTA_BACKUP[TIPO_CUENTA],MATCH(Tabla1[[#This Row],[CEDULA DEL BACKUP]],CONSULTA_BACKUP[CEDULA],0)),"")</f>
        <v/>
      </c>
      <c r="J26" s="27" t="str">
        <f>IFERROR(INDEX(CONSULTA_BACKUP[NUMERO_DE_CUENTA],MATCH(Tabla1[[#This Row],[CEDULA DEL BACKUP]],CONSULTA_BACKUP[CEDULA],0)),"")</f>
        <v/>
      </c>
      <c r="K26" s="27" t="str">
        <f>IFERROR(INDEX(CONSULTA_BACKUP[TIPO_SERVICIO_PERSONAL],MATCH(Tabla1[[#This Row],[CEDULA DEL BACKUP]],CONSULTA_BACKUP[CEDULA],0)),"")</f>
        <v/>
      </c>
      <c r="L26" s="23" t="str">
        <f>IF(LEN(Tabla1[[#This Row],[CEDULA DEL BACKUP]])&gt;10,"X","")</f>
        <v/>
      </c>
      <c r="M26" s="41"/>
      <c r="N26" s="41"/>
      <c r="O26" s="89"/>
      <c r="P26" s="63" t="str">
        <f>IFERROR(INDEX(CONSULTA_FIJOS[CEDULA],MATCH(Tabla1[[#This Row],[NOMBRE DEL PERSONAL CUBIERTO]],CONSULTA_FIJOS[NOMBRE COMPLETO],0)),"")</f>
        <v/>
      </c>
      <c r="Q26" s="46"/>
      <c r="R26" s="46"/>
      <c r="S26" s="81"/>
      <c r="T26" s="89"/>
      <c r="U26" s="27" t="str">
        <f t="shared" si="10"/>
        <v/>
      </c>
      <c r="V26" s="25" t="str">
        <f t="shared" si="1"/>
        <v/>
      </c>
      <c r="W26" s="87"/>
      <c r="X26" s="61"/>
      <c r="Y26" s="64"/>
      <c r="Z26" s="85" t="str">
        <f t="shared" si="11"/>
        <v/>
      </c>
      <c r="AA26" s="65" t="str">
        <f t="shared" si="12"/>
        <v/>
      </c>
      <c r="AB26" s="65" t="str">
        <f t="shared" si="13"/>
        <v/>
      </c>
      <c r="AC26" s="65" t="str">
        <f t="shared" si="14"/>
        <v/>
      </c>
      <c r="AD26" s="65" t="str">
        <f t="shared" si="15"/>
        <v/>
      </c>
      <c r="AE26" s="85" t="str">
        <f t="shared" si="16"/>
        <v/>
      </c>
      <c r="AF26" s="81"/>
      <c r="AG26" s="41"/>
      <c r="AH26" s="81"/>
      <c r="AI26" s="79" t="str">
        <f>_xlfn.IFNA(IF(Tabla1[[#This Row],[FACTURACION]]="SI",INDEX(TABLA.LOCALIDADES[CONTACTO CLIENTE],MATCH(Tabla1[[#This Row],[LOCALIDAD]],TABLA.LOCALIDADES[LOCALIDADES],0)),""),"")</f>
        <v/>
      </c>
      <c r="AJ26" s="79" t="str">
        <f>_xlfn.IFNA(IF(Tabla1[[#This Row],[FACTURACION]]="SI",INDEX(TABLA.LOCALIDADES[CARGO],MATCH(Tabla1[[#This Row],[LOCALIDAD]],TABLA.LOCALIDADES[LOCALIDADES],0)),""),"")</f>
        <v/>
      </c>
      <c r="AK26" s="81"/>
      <c r="AL26" s="92"/>
    </row>
    <row r="27" spans="1:38" ht="16" x14ac:dyDescent="0.2">
      <c r="A27" s="57"/>
      <c r="B27" s="57"/>
      <c r="C27" s="27" t="str">
        <f t="shared" si="9"/>
        <v/>
      </c>
      <c r="D27" s="41"/>
      <c r="E27" s="44"/>
      <c r="F27" s="27" t="str">
        <f>IFERROR(INDEX(CONSULTA_BACKUP[NOMBRE COMPLETO],MATCH(Tabla1[[#This Row],[CEDULA DEL BACKUP]],CONSULTA_BACKUP[CEDULA],0)),"")</f>
        <v/>
      </c>
      <c r="G27" s="27" t="str">
        <f>IFERROR(INDEX(CONSULTA_BACKUP[TELEFONO],MATCH(Tabla1[[#This Row],[CEDULA DEL BACKUP]],CONSULTA_BACKUP[CEDULA],0)),"")</f>
        <v/>
      </c>
      <c r="H27" s="27" t="str">
        <f>IFERROR(INDEX(CONSULTA_BACKUP[BANCO],MATCH(Tabla1[[#This Row],[CEDULA DEL BACKUP]],CONSULTA_BACKUP[CEDULA],0)),"")</f>
        <v/>
      </c>
      <c r="I27" s="27" t="str">
        <f>IFERROR(INDEX(CONSULTA_BACKUP[TIPO_CUENTA],MATCH(Tabla1[[#This Row],[CEDULA DEL BACKUP]],CONSULTA_BACKUP[CEDULA],0)),"")</f>
        <v/>
      </c>
      <c r="J27" s="27" t="str">
        <f>IFERROR(INDEX(CONSULTA_BACKUP[NUMERO_DE_CUENTA],MATCH(Tabla1[[#This Row],[CEDULA DEL BACKUP]],CONSULTA_BACKUP[CEDULA],0)),"")</f>
        <v/>
      </c>
      <c r="K27" s="27" t="str">
        <f>IFERROR(INDEX(CONSULTA_BACKUP[TIPO_SERVICIO_PERSONAL],MATCH(Tabla1[[#This Row],[CEDULA DEL BACKUP]],CONSULTA_BACKUP[CEDULA],0)),"")</f>
        <v/>
      </c>
      <c r="L27" s="23" t="str">
        <f>IF(LEN(Tabla1[[#This Row],[CEDULA DEL BACKUP]])&gt;10,"X","")</f>
        <v/>
      </c>
      <c r="M27" s="41"/>
      <c r="N27" s="41"/>
      <c r="O27" s="89"/>
      <c r="P27" s="63" t="str">
        <f>IFERROR(INDEX(CONSULTA_FIJOS[CEDULA],MATCH(Tabla1[[#This Row],[NOMBRE DEL PERSONAL CUBIERTO]],CONSULTA_FIJOS[NOMBRE COMPLETO],0)),"")</f>
        <v/>
      </c>
      <c r="Q27" s="46"/>
      <c r="R27" s="46"/>
      <c r="S27" s="81"/>
      <c r="T27" s="89"/>
      <c r="U27" s="27" t="str">
        <f t="shared" si="10"/>
        <v/>
      </c>
      <c r="V27" s="25" t="str">
        <f t="shared" si="1"/>
        <v/>
      </c>
      <c r="W27" s="87"/>
      <c r="X27" s="61"/>
      <c r="Y27" s="64"/>
      <c r="Z27" s="85" t="str">
        <f t="shared" si="11"/>
        <v/>
      </c>
      <c r="AA27" s="65" t="str">
        <f t="shared" si="12"/>
        <v/>
      </c>
      <c r="AB27" s="65" t="str">
        <f t="shared" si="13"/>
        <v/>
      </c>
      <c r="AC27" s="65" t="str">
        <f t="shared" si="14"/>
        <v/>
      </c>
      <c r="AD27" s="65" t="str">
        <f t="shared" si="15"/>
        <v/>
      </c>
      <c r="AE27" s="85" t="str">
        <f t="shared" si="16"/>
        <v/>
      </c>
      <c r="AF27" s="81"/>
      <c r="AG27" s="41"/>
      <c r="AH27" s="81"/>
      <c r="AI27" s="79" t="str">
        <f>_xlfn.IFNA(IF(Tabla1[[#This Row],[FACTURACION]]="SI",INDEX(TABLA.LOCALIDADES[CONTACTO CLIENTE],MATCH(Tabla1[[#This Row],[LOCALIDAD]],TABLA.LOCALIDADES[LOCALIDADES],0)),""),"")</f>
        <v/>
      </c>
      <c r="AJ27" s="79" t="str">
        <f>_xlfn.IFNA(IF(Tabla1[[#This Row],[FACTURACION]]="SI",INDEX(TABLA.LOCALIDADES[CARGO],MATCH(Tabla1[[#This Row],[LOCALIDAD]],TABLA.LOCALIDADES[LOCALIDADES],0)),""),"")</f>
        <v/>
      </c>
      <c r="AK27" s="81"/>
      <c r="AL27" s="92"/>
    </row>
    <row r="28" spans="1:38" ht="16" x14ac:dyDescent="0.2">
      <c r="A28" s="57"/>
      <c r="B28" s="57"/>
      <c r="C28" s="27" t="str">
        <f t="shared" si="9"/>
        <v/>
      </c>
      <c r="D28" s="41"/>
      <c r="E28" s="44"/>
      <c r="F28" s="27" t="str">
        <f>IFERROR(INDEX(CONSULTA_BACKUP[NOMBRE COMPLETO],MATCH(Tabla1[[#This Row],[CEDULA DEL BACKUP]],CONSULTA_BACKUP[CEDULA],0)),"")</f>
        <v/>
      </c>
      <c r="G28" s="27" t="str">
        <f>IFERROR(INDEX(CONSULTA_BACKUP[TELEFONO],MATCH(Tabla1[[#This Row],[CEDULA DEL BACKUP]],CONSULTA_BACKUP[CEDULA],0)),"")</f>
        <v/>
      </c>
      <c r="H28" s="27" t="str">
        <f>IFERROR(INDEX(CONSULTA_BACKUP[BANCO],MATCH(Tabla1[[#This Row],[CEDULA DEL BACKUP]],CONSULTA_BACKUP[CEDULA],0)),"")</f>
        <v/>
      </c>
      <c r="I28" s="27" t="str">
        <f>IFERROR(INDEX(CONSULTA_BACKUP[TIPO_CUENTA],MATCH(Tabla1[[#This Row],[CEDULA DEL BACKUP]],CONSULTA_BACKUP[CEDULA],0)),"")</f>
        <v/>
      </c>
      <c r="J28" s="27" t="str">
        <f>IFERROR(INDEX(CONSULTA_BACKUP[NUMERO_DE_CUENTA],MATCH(Tabla1[[#This Row],[CEDULA DEL BACKUP]],CONSULTA_BACKUP[CEDULA],0)),"")</f>
        <v/>
      </c>
      <c r="K28" s="27" t="str">
        <f>IFERROR(INDEX(CONSULTA_BACKUP[TIPO_SERVICIO_PERSONAL],MATCH(Tabla1[[#This Row],[CEDULA DEL BACKUP]],CONSULTA_BACKUP[CEDULA],0)),"")</f>
        <v/>
      </c>
      <c r="L28" s="23" t="str">
        <f>IF(LEN(Tabla1[[#This Row],[CEDULA DEL BACKUP]])&gt;10,"X","")</f>
        <v/>
      </c>
      <c r="M28" s="41"/>
      <c r="N28" s="41"/>
      <c r="O28" s="89"/>
      <c r="P28" s="63" t="str">
        <f>IFERROR(INDEX(CONSULTA_FIJOS[CEDULA],MATCH(Tabla1[[#This Row],[NOMBRE DEL PERSONAL CUBIERTO]],CONSULTA_FIJOS[NOMBRE COMPLETO],0)),"")</f>
        <v/>
      </c>
      <c r="Q28" s="46"/>
      <c r="R28" s="46"/>
      <c r="S28" s="81"/>
      <c r="T28" s="89"/>
      <c r="U28" s="27" t="str">
        <f t="shared" si="10"/>
        <v/>
      </c>
      <c r="V28" s="25" t="str">
        <f t="shared" si="1"/>
        <v/>
      </c>
      <c r="W28" s="87"/>
      <c r="X28" s="61"/>
      <c r="Y28" s="64"/>
      <c r="Z28" s="85" t="str">
        <f t="shared" si="11"/>
        <v/>
      </c>
      <c r="AA28" s="65" t="str">
        <f t="shared" si="12"/>
        <v/>
      </c>
      <c r="AB28" s="65" t="str">
        <f t="shared" si="13"/>
        <v/>
      </c>
      <c r="AC28" s="65" t="str">
        <f t="shared" si="14"/>
        <v/>
      </c>
      <c r="AD28" s="65" t="str">
        <f t="shared" si="15"/>
        <v/>
      </c>
      <c r="AE28" s="85" t="str">
        <f t="shared" si="16"/>
        <v/>
      </c>
      <c r="AF28" s="81"/>
      <c r="AG28" s="41"/>
      <c r="AH28" s="81"/>
      <c r="AI28" s="79" t="str">
        <f>_xlfn.IFNA(IF(Tabla1[[#This Row],[FACTURACION]]="SI",INDEX(TABLA.LOCALIDADES[CONTACTO CLIENTE],MATCH(Tabla1[[#This Row],[LOCALIDAD]],TABLA.LOCALIDADES[LOCALIDADES],0)),""),"")</f>
        <v/>
      </c>
      <c r="AJ28" s="79" t="str">
        <f>_xlfn.IFNA(IF(Tabla1[[#This Row],[FACTURACION]]="SI",INDEX(TABLA.LOCALIDADES[CARGO],MATCH(Tabla1[[#This Row],[LOCALIDAD]],TABLA.LOCALIDADES[LOCALIDADES],0)),""),"")</f>
        <v/>
      </c>
      <c r="AK28" s="81"/>
      <c r="AL28" s="92"/>
    </row>
    <row r="29" spans="1:38" ht="16" x14ac:dyDescent="0.2">
      <c r="A29" s="57"/>
      <c r="B29" s="57"/>
      <c r="C29" s="27" t="str">
        <f t="shared" si="9"/>
        <v/>
      </c>
      <c r="D29" s="41"/>
      <c r="E29" s="44"/>
      <c r="F29" s="27" t="str">
        <f>IFERROR(INDEX(CONSULTA_BACKUP[NOMBRE COMPLETO],MATCH(Tabla1[[#This Row],[CEDULA DEL BACKUP]],CONSULTA_BACKUP[CEDULA],0)),"")</f>
        <v/>
      </c>
      <c r="G29" s="27" t="str">
        <f>IFERROR(INDEX(CONSULTA_BACKUP[TELEFONO],MATCH(Tabla1[[#This Row],[CEDULA DEL BACKUP]],CONSULTA_BACKUP[CEDULA],0)),"")</f>
        <v/>
      </c>
      <c r="H29" s="27" t="str">
        <f>IFERROR(INDEX(CONSULTA_BACKUP[BANCO],MATCH(Tabla1[[#This Row],[CEDULA DEL BACKUP]],CONSULTA_BACKUP[CEDULA],0)),"")</f>
        <v/>
      </c>
      <c r="I29" s="27" t="str">
        <f>IFERROR(INDEX(CONSULTA_BACKUP[TIPO_CUENTA],MATCH(Tabla1[[#This Row],[CEDULA DEL BACKUP]],CONSULTA_BACKUP[CEDULA],0)),"")</f>
        <v/>
      </c>
      <c r="J29" s="27" t="str">
        <f>IFERROR(INDEX(CONSULTA_BACKUP[NUMERO_DE_CUENTA],MATCH(Tabla1[[#This Row],[CEDULA DEL BACKUP]],CONSULTA_BACKUP[CEDULA],0)),"")</f>
        <v/>
      </c>
      <c r="K29" s="27" t="str">
        <f>IFERROR(INDEX(CONSULTA_BACKUP[TIPO_SERVICIO_PERSONAL],MATCH(Tabla1[[#This Row],[CEDULA DEL BACKUP]],CONSULTA_BACKUP[CEDULA],0)),"")</f>
        <v/>
      </c>
      <c r="L29" s="23" t="str">
        <f>IF(LEN(Tabla1[[#This Row],[CEDULA DEL BACKUP]])&gt;10,"X","")</f>
        <v/>
      </c>
      <c r="M29" s="41"/>
      <c r="N29" s="41"/>
      <c r="O29" s="89"/>
      <c r="P29" s="63" t="str">
        <f>IFERROR(INDEX(CONSULTA_FIJOS[CEDULA],MATCH(Tabla1[[#This Row],[NOMBRE DEL PERSONAL CUBIERTO]],CONSULTA_FIJOS[NOMBRE COMPLETO],0)),"")</f>
        <v/>
      </c>
      <c r="Q29" s="46"/>
      <c r="R29" s="46"/>
      <c r="S29" s="81"/>
      <c r="T29" s="89"/>
      <c r="U29" s="27" t="str">
        <f t="shared" si="10"/>
        <v/>
      </c>
      <c r="V29" s="25" t="str">
        <f t="shared" si="1"/>
        <v/>
      </c>
      <c r="W29" s="87"/>
      <c r="X29" s="61"/>
      <c r="Y29" s="64"/>
      <c r="Z29" s="85" t="str">
        <f t="shared" si="11"/>
        <v/>
      </c>
      <c r="AA29" s="65" t="str">
        <f t="shared" si="12"/>
        <v/>
      </c>
      <c r="AB29" s="65" t="str">
        <f t="shared" si="13"/>
        <v/>
      </c>
      <c r="AC29" s="65" t="str">
        <f t="shared" si="14"/>
        <v/>
      </c>
      <c r="AD29" s="65" t="str">
        <f t="shared" si="15"/>
        <v/>
      </c>
      <c r="AE29" s="85" t="str">
        <f t="shared" si="16"/>
        <v/>
      </c>
      <c r="AF29" s="81"/>
      <c r="AG29" s="41"/>
      <c r="AH29" s="81"/>
      <c r="AI29" s="79" t="str">
        <f>_xlfn.IFNA(IF(Tabla1[[#This Row],[FACTURACION]]="SI",INDEX(TABLA.LOCALIDADES[CONTACTO CLIENTE],MATCH(Tabla1[[#This Row],[LOCALIDAD]],TABLA.LOCALIDADES[LOCALIDADES],0)),""),"")</f>
        <v/>
      </c>
      <c r="AJ29" s="79" t="str">
        <f>_xlfn.IFNA(IF(Tabla1[[#This Row],[FACTURACION]]="SI",INDEX(TABLA.LOCALIDADES[CARGO],MATCH(Tabla1[[#This Row],[LOCALIDAD]],TABLA.LOCALIDADES[LOCALIDADES],0)),""),"")</f>
        <v/>
      </c>
      <c r="AK29" s="81"/>
      <c r="AL29" s="92"/>
    </row>
    <row r="30" spans="1:38" ht="16" x14ac:dyDescent="0.2">
      <c r="A30" s="57"/>
      <c r="B30" s="57"/>
      <c r="C30" s="27" t="str">
        <f t="shared" si="9"/>
        <v/>
      </c>
      <c r="D30" s="41"/>
      <c r="E30" s="44"/>
      <c r="F30" s="27" t="str">
        <f>IFERROR(INDEX(CONSULTA_BACKUP[NOMBRE COMPLETO],MATCH(Tabla1[[#This Row],[CEDULA DEL BACKUP]],CONSULTA_BACKUP[CEDULA],0)),"")</f>
        <v/>
      </c>
      <c r="G30" s="27" t="str">
        <f>IFERROR(INDEX(CONSULTA_BACKUP[TELEFONO],MATCH(Tabla1[[#This Row],[CEDULA DEL BACKUP]],CONSULTA_BACKUP[CEDULA],0)),"")</f>
        <v/>
      </c>
      <c r="H30" s="27" t="str">
        <f>IFERROR(INDEX(CONSULTA_BACKUP[BANCO],MATCH(Tabla1[[#This Row],[CEDULA DEL BACKUP]],CONSULTA_BACKUP[CEDULA],0)),"")</f>
        <v/>
      </c>
      <c r="I30" s="27" t="str">
        <f>IFERROR(INDEX(CONSULTA_BACKUP[TIPO_CUENTA],MATCH(Tabla1[[#This Row],[CEDULA DEL BACKUP]],CONSULTA_BACKUP[CEDULA],0)),"")</f>
        <v/>
      </c>
      <c r="J30" s="27" t="str">
        <f>IFERROR(INDEX(CONSULTA_BACKUP[NUMERO_DE_CUENTA],MATCH(Tabla1[[#This Row],[CEDULA DEL BACKUP]],CONSULTA_BACKUP[CEDULA],0)),"")</f>
        <v/>
      </c>
      <c r="K30" s="27" t="str">
        <f>IFERROR(INDEX(CONSULTA_BACKUP[TIPO_SERVICIO_PERSONAL],MATCH(Tabla1[[#This Row],[CEDULA DEL BACKUP]],CONSULTA_BACKUP[CEDULA],0)),"")</f>
        <v/>
      </c>
      <c r="L30" s="23" t="str">
        <f>IF(LEN(Tabla1[[#This Row],[CEDULA DEL BACKUP]])&gt;10,"X","")</f>
        <v/>
      </c>
      <c r="M30" s="41"/>
      <c r="N30" s="41"/>
      <c r="O30" s="89"/>
      <c r="P30" s="63" t="str">
        <f>IFERROR(INDEX(CONSULTA_FIJOS[CEDULA],MATCH(Tabla1[[#This Row],[NOMBRE DEL PERSONAL CUBIERTO]],CONSULTA_FIJOS[NOMBRE COMPLETO],0)),"")</f>
        <v/>
      </c>
      <c r="Q30" s="46"/>
      <c r="R30" s="46"/>
      <c r="S30" s="81"/>
      <c r="T30" s="89"/>
      <c r="U30" s="27" t="str">
        <f t="shared" si="10"/>
        <v/>
      </c>
      <c r="V30" s="25" t="str">
        <f t="shared" si="1"/>
        <v/>
      </c>
      <c r="W30" s="87"/>
      <c r="X30" s="61"/>
      <c r="Y30" s="64"/>
      <c r="Z30" s="85" t="str">
        <f t="shared" si="11"/>
        <v/>
      </c>
      <c r="AA30" s="65" t="str">
        <f t="shared" si="12"/>
        <v/>
      </c>
      <c r="AB30" s="65" t="str">
        <f t="shared" si="13"/>
        <v/>
      </c>
      <c r="AC30" s="65" t="str">
        <f t="shared" si="14"/>
        <v/>
      </c>
      <c r="AD30" s="65" t="str">
        <f t="shared" si="15"/>
        <v/>
      </c>
      <c r="AE30" s="85" t="str">
        <f t="shared" si="16"/>
        <v/>
      </c>
      <c r="AF30" s="81"/>
      <c r="AG30" s="41"/>
      <c r="AH30" s="81"/>
      <c r="AI30" s="79" t="str">
        <f>_xlfn.IFNA(IF(Tabla1[[#This Row],[FACTURACION]]="SI",INDEX(TABLA.LOCALIDADES[CONTACTO CLIENTE],MATCH(Tabla1[[#This Row],[LOCALIDAD]],TABLA.LOCALIDADES[LOCALIDADES],0)),""),"")</f>
        <v/>
      </c>
      <c r="AJ30" s="79" t="str">
        <f>_xlfn.IFNA(IF(Tabla1[[#This Row],[FACTURACION]]="SI",INDEX(TABLA.LOCALIDADES[CARGO],MATCH(Tabla1[[#This Row],[LOCALIDAD]],TABLA.LOCALIDADES[LOCALIDADES],0)),""),"")</f>
        <v/>
      </c>
      <c r="AK30" s="81"/>
      <c r="AL30" s="92"/>
    </row>
    <row r="31" spans="1:38" ht="16" x14ac:dyDescent="0.2">
      <c r="A31" s="57"/>
      <c r="B31" s="57"/>
      <c r="C31" s="27" t="str">
        <f t="shared" si="9"/>
        <v/>
      </c>
      <c r="D31" s="41"/>
      <c r="E31" s="44"/>
      <c r="F31" s="27" t="str">
        <f>IFERROR(INDEX(CONSULTA_BACKUP[NOMBRE COMPLETO],MATCH(Tabla1[[#This Row],[CEDULA DEL BACKUP]],CONSULTA_BACKUP[CEDULA],0)),"")</f>
        <v/>
      </c>
      <c r="G31" s="27" t="str">
        <f>IFERROR(INDEX(CONSULTA_BACKUP[TELEFONO],MATCH(Tabla1[[#This Row],[CEDULA DEL BACKUP]],CONSULTA_BACKUP[CEDULA],0)),"")</f>
        <v/>
      </c>
      <c r="H31" s="27" t="str">
        <f>IFERROR(INDEX(CONSULTA_BACKUP[BANCO],MATCH(Tabla1[[#This Row],[CEDULA DEL BACKUP]],CONSULTA_BACKUP[CEDULA],0)),"")</f>
        <v/>
      </c>
      <c r="I31" s="27" t="str">
        <f>IFERROR(INDEX(CONSULTA_BACKUP[TIPO_CUENTA],MATCH(Tabla1[[#This Row],[CEDULA DEL BACKUP]],CONSULTA_BACKUP[CEDULA],0)),"")</f>
        <v/>
      </c>
      <c r="J31" s="27" t="str">
        <f>IFERROR(INDEX(CONSULTA_BACKUP[NUMERO_DE_CUENTA],MATCH(Tabla1[[#This Row],[CEDULA DEL BACKUP]],CONSULTA_BACKUP[CEDULA],0)),"")</f>
        <v/>
      </c>
      <c r="K31" s="27" t="str">
        <f>IFERROR(INDEX(CONSULTA_BACKUP[TIPO_SERVICIO_PERSONAL],MATCH(Tabla1[[#This Row],[CEDULA DEL BACKUP]],CONSULTA_BACKUP[CEDULA],0)),"")</f>
        <v/>
      </c>
      <c r="L31" s="23" t="str">
        <f>IF(LEN(Tabla1[[#This Row],[CEDULA DEL BACKUP]])&gt;10,"X","")</f>
        <v/>
      </c>
      <c r="M31" s="41"/>
      <c r="N31" s="41"/>
      <c r="O31" s="89"/>
      <c r="P31" s="63" t="str">
        <f>IFERROR(INDEX(CONSULTA_FIJOS[CEDULA],MATCH(Tabla1[[#This Row],[NOMBRE DEL PERSONAL CUBIERTO]],CONSULTA_FIJOS[NOMBRE COMPLETO],0)),"")</f>
        <v/>
      </c>
      <c r="Q31" s="46"/>
      <c r="R31" s="46"/>
      <c r="S31" s="81"/>
      <c r="T31" s="89"/>
      <c r="U31" s="27" t="str">
        <f t="shared" si="10"/>
        <v/>
      </c>
      <c r="V31" s="25" t="str">
        <f t="shared" si="1"/>
        <v/>
      </c>
      <c r="W31" s="87"/>
      <c r="X31" s="61"/>
      <c r="Y31" s="64"/>
      <c r="Z31" s="85" t="str">
        <f t="shared" si="11"/>
        <v/>
      </c>
      <c r="AA31" s="65" t="str">
        <f t="shared" si="12"/>
        <v/>
      </c>
      <c r="AB31" s="65" t="str">
        <f t="shared" si="13"/>
        <v/>
      </c>
      <c r="AC31" s="65" t="str">
        <f t="shared" si="14"/>
        <v/>
      </c>
      <c r="AD31" s="65" t="str">
        <f t="shared" si="15"/>
        <v/>
      </c>
      <c r="AE31" s="85" t="str">
        <f t="shared" si="16"/>
        <v/>
      </c>
      <c r="AF31" s="81"/>
      <c r="AG31" s="41"/>
      <c r="AH31" s="81"/>
      <c r="AI31" s="79" t="str">
        <f>_xlfn.IFNA(IF(Tabla1[[#This Row],[FACTURACION]]="SI",INDEX(TABLA.LOCALIDADES[CONTACTO CLIENTE],MATCH(Tabla1[[#This Row],[LOCALIDAD]],TABLA.LOCALIDADES[LOCALIDADES],0)),""),"")</f>
        <v/>
      </c>
      <c r="AJ31" s="79" t="str">
        <f>_xlfn.IFNA(IF(Tabla1[[#This Row],[FACTURACION]]="SI",INDEX(TABLA.LOCALIDADES[CARGO],MATCH(Tabla1[[#This Row],[LOCALIDAD]],TABLA.LOCALIDADES[LOCALIDADES],0)),""),"")</f>
        <v/>
      </c>
      <c r="AK31" s="81"/>
      <c r="AL31" s="92"/>
    </row>
    <row r="32" spans="1:38" ht="16" x14ac:dyDescent="0.2">
      <c r="A32" s="57"/>
      <c r="B32" s="57"/>
      <c r="C32" s="27" t="str">
        <f t="shared" si="9"/>
        <v/>
      </c>
      <c r="D32" s="41"/>
      <c r="E32" s="44"/>
      <c r="F32" s="27" t="str">
        <f>IFERROR(INDEX(CONSULTA_BACKUP[NOMBRE COMPLETO],MATCH(Tabla1[[#This Row],[CEDULA DEL BACKUP]],CONSULTA_BACKUP[CEDULA],0)),"")</f>
        <v/>
      </c>
      <c r="G32" s="27" t="str">
        <f>IFERROR(INDEX(CONSULTA_BACKUP[TELEFONO],MATCH(Tabla1[[#This Row],[CEDULA DEL BACKUP]],CONSULTA_BACKUP[CEDULA],0)),"")</f>
        <v/>
      </c>
      <c r="H32" s="27" t="str">
        <f>IFERROR(INDEX(CONSULTA_BACKUP[BANCO],MATCH(Tabla1[[#This Row],[CEDULA DEL BACKUP]],CONSULTA_BACKUP[CEDULA],0)),"")</f>
        <v/>
      </c>
      <c r="I32" s="27" t="str">
        <f>IFERROR(INDEX(CONSULTA_BACKUP[TIPO_CUENTA],MATCH(Tabla1[[#This Row],[CEDULA DEL BACKUP]],CONSULTA_BACKUP[CEDULA],0)),"")</f>
        <v/>
      </c>
      <c r="J32" s="27" t="str">
        <f>IFERROR(INDEX(CONSULTA_BACKUP[NUMERO_DE_CUENTA],MATCH(Tabla1[[#This Row],[CEDULA DEL BACKUP]],CONSULTA_BACKUP[CEDULA],0)),"")</f>
        <v/>
      </c>
      <c r="K32" s="27" t="str">
        <f>IFERROR(INDEX(CONSULTA_BACKUP[TIPO_SERVICIO_PERSONAL],MATCH(Tabla1[[#This Row],[CEDULA DEL BACKUP]],CONSULTA_BACKUP[CEDULA],0)),"")</f>
        <v/>
      </c>
      <c r="L32" s="23" t="str">
        <f>IF(LEN(Tabla1[[#This Row],[CEDULA DEL BACKUP]])&gt;10,"X","")</f>
        <v/>
      </c>
      <c r="M32" s="41"/>
      <c r="N32" s="41"/>
      <c r="O32" s="89"/>
      <c r="P32" s="63" t="str">
        <f>IFERROR(INDEX(CONSULTA_FIJOS[CEDULA],MATCH(Tabla1[[#This Row],[NOMBRE DEL PERSONAL CUBIERTO]],CONSULTA_FIJOS[NOMBRE COMPLETO],0)),"")</f>
        <v/>
      </c>
      <c r="Q32" s="46"/>
      <c r="R32" s="46"/>
      <c r="S32" s="81"/>
      <c r="T32" s="89"/>
      <c r="U32" s="27" t="str">
        <f t="shared" si="10"/>
        <v/>
      </c>
      <c r="V32" s="25" t="str">
        <f t="shared" si="1"/>
        <v/>
      </c>
      <c r="W32" s="87"/>
      <c r="X32" s="61"/>
      <c r="Y32" s="64"/>
      <c r="Z32" s="85" t="str">
        <f t="shared" si="11"/>
        <v/>
      </c>
      <c r="AA32" s="65" t="str">
        <f t="shared" si="12"/>
        <v/>
      </c>
      <c r="AB32" s="65" t="str">
        <f t="shared" si="13"/>
        <v/>
      </c>
      <c r="AC32" s="65" t="str">
        <f t="shared" si="14"/>
        <v/>
      </c>
      <c r="AD32" s="65" t="str">
        <f t="shared" si="15"/>
        <v/>
      </c>
      <c r="AE32" s="85" t="str">
        <f t="shared" si="16"/>
        <v/>
      </c>
      <c r="AF32" s="81"/>
      <c r="AG32" s="41"/>
      <c r="AH32" s="81"/>
      <c r="AI32" s="79" t="str">
        <f>_xlfn.IFNA(IF(Tabla1[[#This Row],[FACTURACION]]="SI",INDEX(TABLA.LOCALIDADES[CONTACTO CLIENTE],MATCH(Tabla1[[#This Row],[LOCALIDAD]],TABLA.LOCALIDADES[LOCALIDADES],0)),""),"")</f>
        <v/>
      </c>
      <c r="AJ32" s="79" t="str">
        <f>_xlfn.IFNA(IF(Tabla1[[#This Row],[FACTURACION]]="SI",INDEX(TABLA.LOCALIDADES[CARGO],MATCH(Tabla1[[#This Row],[LOCALIDAD]],TABLA.LOCALIDADES[LOCALIDADES],0)),""),"")</f>
        <v/>
      </c>
      <c r="AK32" s="81"/>
      <c r="AL32" s="92"/>
    </row>
    <row r="33" spans="1:38" ht="16" x14ac:dyDescent="0.2">
      <c r="A33" s="58"/>
      <c r="B33" s="58"/>
      <c r="C33" s="28" t="str">
        <f t="shared" si="9"/>
        <v/>
      </c>
      <c r="D33" s="42"/>
      <c r="E33" s="45"/>
      <c r="F33" s="28" t="str">
        <f>IFERROR(INDEX(CONSULTA_BACKUP[NOMBRE COMPLETO],MATCH(Tabla1[[#This Row],[CEDULA DEL BACKUP]],CONSULTA_BACKUP[CEDULA],0)),"")</f>
        <v/>
      </c>
      <c r="G33" s="28" t="str">
        <f>IFERROR(INDEX(CONSULTA_BACKUP[TELEFONO],MATCH(Tabla1[[#This Row],[CEDULA DEL BACKUP]],CONSULTA_BACKUP[CEDULA],0)),"")</f>
        <v/>
      </c>
      <c r="H33" s="28" t="str">
        <f>IFERROR(INDEX(CONSULTA_BACKUP[BANCO],MATCH(Tabla1[[#This Row],[CEDULA DEL BACKUP]],CONSULTA_BACKUP[CEDULA],0)),"")</f>
        <v/>
      </c>
      <c r="I33" s="28" t="str">
        <f>IFERROR(INDEX(CONSULTA_BACKUP[TIPO_CUENTA],MATCH(Tabla1[[#This Row],[CEDULA DEL BACKUP]],CONSULTA_BACKUP[CEDULA],0)),"")</f>
        <v/>
      </c>
      <c r="J33" s="28" t="str">
        <f>IFERROR(INDEX(CONSULTA_BACKUP[NUMERO_DE_CUENTA],MATCH(Tabla1[[#This Row],[CEDULA DEL BACKUP]],CONSULTA_BACKUP[CEDULA],0)),"")</f>
        <v/>
      </c>
      <c r="K33" s="28" t="str">
        <f>IFERROR(INDEX(CONSULTA_BACKUP[TIPO_SERVICIO_PERSONAL],MATCH(Tabla1[[#This Row],[CEDULA DEL BACKUP]],CONSULTA_BACKUP[CEDULA],0)),"")</f>
        <v/>
      </c>
      <c r="L33" s="24" t="str">
        <f>IF(LEN(Tabla1[[#This Row],[CEDULA DEL BACKUP]])&gt;10,"X","")</f>
        <v/>
      </c>
      <c r="M33" s="42"/>
      <c r="N33" s="42"/>
      <c r="O33" s="90"/>
      <c r="P33" s="66" t="str">
        <f>IFERROR(INDEX(CONSULTA_FIJOS[CEDULA],MATCH(Tabla1[[#This Row],[NOMBRE DEL PERSONAL CUBIERTO]],CONSULTA_FIJOS[NOMBRE COMPLETO],0)),"")</f>
        <v/>
      </c>
      <c r="Q33" s="47"/>
      <c r="R33" s="47"/>
      <c r="S33" s="82"/>
      <c r="T33" s="90"/>
      <c r="U33" s="28" t="str">
        <f t="shared" si="10"/>
        <v/>
      </c>
      <c r="V33" s="29" t="str">
        <f t="shared" si="1"/>
        <v/>
      </c>
      <c r="W33" s="88"/>
      <c r="X33" s="67"/>
      <c r="Y33" s="68"/>
      <c r="Z33" s="86" t="str">
        <f t="shared" si="11"/>
        <v/>
      </c>
      <c r="AA33" s="69" t="str">
        <f t="shared" si="12"/>
        <v/>
      </c>
      <c r="AB33" s="69" t="str">
        <f t="shared" si="13"/>
        <v/>
      </c>
      <c r="AC33" s="69" t="str">
        <f t="shared" si="14"/>
        <v/>
      </c>
      <c r="AD33" s="69" t="str">
        <f t="shared" si="15"/>
        <v/>
      </c>
      <c r="AE33" s="86" t="str">
        <f t="shared" si="16"/>
        <v/>
      </c>
      <c r="AF33" s="82"/>
      <c r="AG33" s="42"/>
      <c r="AH33" s="82"/>
      <c r="AI33" s="80" t="str">
        <f>_xlfn.IFNA(IF(Tabla1[[#This Row],[FACTURACION]]="SI",INDEX(TABLA.LOCALIDADES[CONTACTO CLIENTE],MATCH(Tabla1[[#This Row],[LOCALIDAD]],TABLA.LOCALIDADES[LOCALIDADES],0)),""),"")</f>
        <v/>
      </c>
      <c r="AJ33" s="80" t="str">
        <f>_xlfn.IFNA(IF(Tabla1[[#This Row],[FACTURACION]]="SI",INDEX(TABLA.LOCALIDADES[CARGO],MATCH(Tabla1[[#This Row],[LOCALIDAD]],TABLA.LOCALIDADES[LOCALIDADES],0)),""),"")</f>
        <v/>
      </c>
      <c r="AK33" s="81"/>
      <c r="AL33" s="92"/>
    </row>
  </sheetData>
  <sheetProtection algorithmName="SHA-512" hashValue="F84hsgyOg66SwCAF3XmZDc/jQYDPSP/2abCDpCynFBYxROSWbJGHLfIUq52HJax8fN0RvlUfvF/IUI1UyKUUeA==" saltValue="UmwrkorpoclO5kX1Mx+FnA==" spinCount="100000" sheet="1" formatColumns="0" sort="0" autoFilter="0" pivotTables="0"/>
  <conditionalFormatting sqref="AH4:AK33">
    <cfRule type="expression" dxfId="8" priority="9">
      <formula>$AG4="NO"</formula>
    </cfRule>
  </conditionalFormatting>
  <conditionalFormatting sqref="O4:O33">
    <cfRule type="expression" dxfId="7" priority="3">
      <formula>$M4="VACANTE"</formula>
    </cfRule>
    <cfRule type="expression" dxfId="6" priority="4">
      <formula>$M4="HORAS ADICIONALES"</formula>
    </cfRule>
    <cfRule type="expression" dxfId="5" priority="5">
      <formula>$M4="JORNADA"</formula>
    </cfRule>
    <cfRule type="expression" dxfId="4" priority="6">
      <formula>$M4="SERVICIO PUNTUAL"</formula>
    </cfRule>
    <cfRule type="expression" dxfId="3" priority="7">
      <formula>$M4="SERVICIOS ADICIONALES"</formula>
    </cfRule>
    <cfRule type="expression" dxfId="2" priority="8">
      <formula>$M4="ENTRENAMIENTO"</formula>
    </cfRule>
  </conditionalFormatting>
  <conditionalFormatting sqref="AL4:AL33">
    <cfRule type="expression" dxfId="1" priority="1">
      <formula>AL4&lt;&gt;0</formula>
    </cfRule>
    <cfRule type="expression" dxfId="0" priority="2">
      <formula>$AG4="NO"</formula>
    </cfRule>
  </conditionalFormatting>
  <dataValidations count="12">
    <dataValidation type="list" allowBlank="1" showInputMessage="1" showErrorMessage="1" sqref="D4:D33" xr:uid="{00000000-0002-0000-0100-000000000000}">
      <formula1>SUPERVISOR</formula1>
    </dataValidation>
    <dataValidation type="list" allowBlank="1" showInputMessage="1" showErrorMessage="1" sqref="N4:N33" xr:uid="{00000000-0002-0000-0100-000001000000}">
      <formula1>LOCALIDADES</formula1>
    </dataValidation>
    <dataValidation type="list" allowBlank="1" showInputMessage="1" showErrorMessage="1" sqref="O4:O33" xr:uid="{00000000-0002-0000-0100-000002000000}">
      <formula1>NOMBRES_FIJOS</formula1>
    </dataValidation>
    <dataValidation type="custom" allowBlank="1" showInputMessage="1" showErrorMessage="1" errorTitle="COLOCAR EL TEXTO EN MAYUSCULAS" error="FAVOR COLOCAR EL TEXTO EN MAYUSCULAS" sqref="AF4:AF33 AH4:AH33" xr:uid="{00000000-0002-0000-0100-000003000000}">
      <formula1>EXACT(AF4,UPPER(AF4))</formula1>
    </dataValidation>
    <dataValidation type="list" allowBlank="1" showInputMessage="1" showErrorMessage="1" sqref="M4:M33" xr:uid="{00000000-0002-0000-0100-000004000000}">
      <formula1>CONCEPTOS</formula1>
    </dataValidation>
    <dataValidation type="time" allowBlank="1" showInputMessage="1" showErrorMessage="1" error="SOLO SE ADMITEN HORAS" sqref="Q4:R33" xr:uid="{00000000-0002-0000-0100-000005000000}">
      <formula1>0</formula1>
      <formula2>0.999305555555556</formula2>
    </dataValidation>
    <dataValidation type="list" allowBlank="1" showInputMessage="1" showErrorMessage="1" sqref="T4:T33" xr:uid="{00000000-0002-0000-0100-000006000000}">
      <formula1>MESES</formula1>
    </dataValidation>
    <dataValidation type="list" allowBlank="1" showInputMessage="1" showErrorMessage="1" sqref="AG4:AG33 W4:W33" xr:uid="{00000000-0002-0000-0100-000007000000}">
      <formula1>"SI,NO"</formula1>
    </dataValidation>
    <dataValidation type="textLength" allowBlank="1" showInputMessage="1" showErrorMessage="1" errorTitle="LA LONGITUD MAXIMA EXCEDIDA" error="LA LONGITUD MAXIMA ES DE 10 DIGITOS" sqref="AK4:AK33" xr:uid="{00000000-0002-0000-0100-000008000000}">
      <formula1>1</formula1>
      <formula2>10</formula2>
    </dataValidation>
    <dataValidation type="whole" operator="greaterThan" allowBlank="1" showInputMessage="1" showErrorMessage="1" sqref="X4:X33" xr:uid="{00000000-0002-0000-0100-000009000000}">
      <formula1>100</formula1>
    </dataValidation>
    <dataValidation type="whole" operator="greaterThan" allowBlank="1" showInputMessage="1" showErrorMessage="1" sqref="Y4:Y33" xr:uid="{00000000-0002-0000-0100-00000A000000}">
      <formula1>50</formula1>
    </dataValidation>
    <dataValidation type="list" allowBlank="1" showInputMessage="1" showErrorMessage="1" sqref="AL4:AL33" xr:uid="{00000000-0002-0000-0100-00000B000000}">
      <formula1>ERRORES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B2:H16"/>
  <sheetViews>
    <sheetView topLeftCell="B1" workbookViewId="0">
      <selection activeCell="H2" sqref="H2:H9"/>
    </sheetView>
  </sheetViews>
  <sheetFormatPr baseColWidth="10" defaultRowHeight="15" x14ac:dyDescent="0.2"/>
  <cols>
    <col min="2" max="2" width="22.83203125" bestFit="1" customWidth="1"/>
    <col min="3" max="3" width="24.5" bestFit="1" customWidth="1"/>
    <col min="8" max="8" width="31.83203125" bestFit="1" customWidth="1"/>
  </cols>
  <sheetData>
    <row r="2" spans="2:8" x14ac:dyDescent="0.2">
      <c r="B2" s="2" t="s">
        <v>29</v>
      </c>
      <c r="C2" s="2" t="s">
        <v>2051</v>
      </c>
      <c r="D2" s="2" t="s">
        <v>2063</v>
      </c>
      <c r="H2" t="s">
        <v>2607</v>
      </c>
    </row>
    <row r="3" spans="2:8" x14ac:dyDescent="0.2">
      <c r="B3" t="s">
        <v>135</v>
      </c>
      <c r="C3" t="s">
        <v>2052</v>
      </c>
      <c r="D3" s="1" t="s">
        <v>2064</v>
      </c>
      <c r="H3" s="2" t="s">
        <v>2600</v>
      </c>
    </row>
    <row r="4" spans="2:8" x14ac:dyDescent="0.2">
      <c r="B4" t="s">
        <v>136</v>
      </c>
      <c r="C4" t="s">
        <v>2053</v>
      </c>
      <c r="D4" s="1" t="s">
        <v>2065</v>
      </c>
      <c r="H4" s="2" t="s">
        <v>2601</v>
      </c>
    </row>
    <row r="5" spans="2:8" x14ac:dyDescent="0.2">
      <c r="B5" t="s">
        <v>134</v>
      </c>
      <c r="C5" t="s">
        <v>2077</v>
      </c>
      <c r="D5" s="1" t="s">
        <v>2066</v>
      </c>
      <c r="H5" s="2" t="s">
        <v>2602</v>
      </c>
    </row>
    <row r="6" spans="2:8" x14ac:dyDescent="0.2">
      <c r="B6" t="s">
        <v>133</v>
      </c>
      <c r="C6" t="s">
        <v>2054</v>
      </c>
      <c r="D6" s="1" t="s">
        <v>2067</v>
      </c>
      <c r="H6" s="2" t="s">
        <v>2603</v>
      </c>
    </row>
    <row r="7" spans="2:8" x14ac:dyDescent="0.2">
      <c r="B7" t="s">
        <v>132</v>
      </c>
      <c r="C7" t="s">
        <v>2325</v>
      </c>
      <c r="D7" s="1" t="s">
        <v>2068</v>
      </c>
      <c r="H7" s="2" t="s">
        <v>2604</v>
      </c>
    </row>
    <row r="8" spans="2:8" x14ac:dyDescent="0.2">
      <c r="B8" t="s">
        <v>131</v>
      </c>
      <c r="C8" t="s">
        <v>2055</v>
      </c>
      <c r="D8" s="1" t="s">
        <v>2069</v>
      </c>
      <c r="H8" s="2" t="s">
        <v>2605</v>
      </c>
    </row>
    <row r="9" spans="2:8" x14ac:dyDescent="0.2">
      <c r="B9" t="s">
        <v>130</v>
      </c>
      <c r="C9" t="s">
        <v>2060</v>
      </c>
      <c r="D9" s="1" t="s">
        <v>2070</v>
      </c>
      <c r="H9" s="2" t="s">
        <v>2606</v>
      </c>
    </row>
    <row r="10" spans="2:8" x14ac:dyDescent="0.2">
      <c r="B10" t="s">
        <v>137</v>
      </c>
      <c r="C10" t="s">
        <v>2056</v>
      </c>
      <c r="D10" s="1" t="s">
        <v>2071</v>
      </c>
    </row>
    <row r="11" spans="2:8" x14ac:dyDescent="0.2">
      <c r="B11" t="s">
        <v>2049</v>
      </c>
      <c r="C11" t="s">
        <v>2316</v>
      </c>
      <c r="D11" s="1" t="s">
        <v>2072</v>
      </c>
    </row>
    <row r="12" spans="2:8" x14ac:dyDescent="0.2">
      <c r="C12" t="s">
        <v>2057</v>
      </c>
      <c r="D12" s="1" t="s">
        <v>2073</v>
      </c>
    </row>
    <row r="13" spans="2:8" x14ac:dyDescent="0.2">
      <c r="C13" t="s">
        <v>2058</v>
      </c>
      <c r="D13" s="1" t="s">
        <v>2074</v>
      </c>
    </row>
    <row r="14" spans="2:8" x14ac:dyDescent="0.2">
      <c r="C14" t="s">
        <v>2061</v>
      </c>
      <c r="D14" s="1" t="s">
        <v>2075</v>
      </c>
    </row>
    <row r="15" spans="2:8" x14ac:dyDescent="0.2">
      <c r="C15" t="s">
        <v>2059</v>
      </c>
    </row>
    <row r="16" spans="2:8" x14ac:dyDescent="0.2">
      <c r="C16" t="s">
        <v>2317</v>
      </c>
    </row>
  </sheetData>
  <phoneticPr fontId="6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205"/>
  <sheetViews>
    <sheetView tabSelected="1" topLeftCell="A179" workbookViewId="0">
      <selection activeCell="A2" sqref="A2:A205"/>
    </sheetView>
  </sheetViews>
  <sheetFormatPr baseColWidth="10" defaultRowHeight="15" x14ac:dyDescent="0.2"/>
  <cols>
    <col min="2" max="2" width="12.5" style="12" bestFit="1" customWidth="1"/>
    <col min="3" max="3" width="41.83203125" bestFit="1" customWidth="1"/>
    <col min="4" max="4" width="14.6640625" style="1" bestFit="1" customWidth="1"/>
    <col min="5" max="6" width="29.5" style="1" bestFit="1" customWidth="1"/>
    <col min="7" max="7" width="25.5" style="1" bestFit="1" customWidth="1"/>
    <col min="8" max="8" width="46.33203125" style="1" bestFit="1" customWidth="1"/>
    <col min="9" max="9" width="23.5" bestFit="1" customWidth="1"/>
    <col min="10" max="10" width="25.5" style="12" bestFit="1" customWidth="1"/>
    <col min="11" max="11" width="11.83203125" bestFit="1" customWidth="1"/>
    <col min="12" max="12" width="18" style="1" bestFit="1" customWidth="1"/>
    <col min="13" max="13" width="13" style="1" customWidth="1"/>
  </cols>
  <sheetData>
    <row r="1" spans="1:13" x14ac:dyDescent="0.2">
      <c r="A1" s="94" t="s">
        <v>2640</v>
      </c>
      <c r="B1" s="12" t="s">
        <v>138</v>
      </c>
      <c r="C1" t="s">
        <v>1178</v>
      </c>
      <c r="D1" s="1" t="s">
        <v>2</v>
      </c>
      <c r="E1" s="1" t="s">
        <v>149</v>
      </c>
      <c r="F1" s="1" t="s">
        <v>148</v>
      </c>
      <c r="G1" s="1" t="s">
        <v>141</v>
      </c>
      <c r="H1" s="1" t="s">
        <v>3</v>
      </c>
      <c r="I1" t="s">
        <v>142</v>
      </c>
      <c r="J1" s="12" t="s">
        <v>143</v>
      </c>
      <c r="K1" t="s">
        <v>146</v>
      </c>
      <c r="L1" s="1" t="s">
        <v>147</v>
      </c>
      <c r="M1"/>
    </row>
    <row r="2" spans="1:13" x14ac:dyDescent="0.2">
      <c r="A2">
        <v>0</v>
      </c>
      <c r="B2" s="12" t="s">
        <v>172</v>
      </c>
      <c r="C2" s="8" t="s">
        <v>2590</v>
      </c>
      <c r="D2" s="1">
        <v>8099750067</v>
      </c>
      <c r="E2" s="11" t="s">
        <v>182</v>
      </c>
      <c r="F2" s="11" t="s">
        <v>181</v>
      </c>
      <c r="G2" s="11" t="s">
        <v>175</v>
      </c>
      <c r="H2" s="11" t="s">
        <v>176</v>
      </c>
      <c r="I2" s="8" t="s">
        <v>177</v>
      </c>
      <c r="J2" s="12" t="s">
        <v>178</v>
      </c>
      <c r="K2" t="b">
        <v>1</v>
      </c>
      <c r="L2" s="10">
        <v>44504</v>
      </c>
      <c r="M2"/>
    </row>
    <row r="3" spans="1:13" x14ac:dyDescent="0.2">
      <c r="A3">
        <v>0</v>
      </c>
      <c r="B3" s="12" t="s">
        <v>987</v>
      </c>
      <c r="C3" s="8" t="s">
        <v>1304</v>
      </c>
      <c r="D3" s="1">
        <v>8298146009</v>
      </c>
      <c r="E3" s="11" t="s">
        <v>393</v>
      </c>
      <c r="F3" s="11" t="s">
        <v>181</v>
      </c>
      <c r="G3" s="11" t="s">
        <v>175</v>
      </c>
      <c r="H3" s="11" t="s">
        <v>176</v>
      </c>
      <c r="I3" s="8" t="s">
        <v>177</v>
      </c>
      <c r="J3" s="12" t="s">
        <v>990</v>
      </c>
      <c r="K3" t="b">
        <v>1</v>
      </c>
      <c r="L3" s="10">
        <v>44400</v>
      </c>
      <c r="M3"/>
    </row>
    <row r="4" spans="1:13" x14ac:dyDescent="0.2">
      <c r="A4">
        <v>0</v>
      </c>
      <c r="B4" s="12" t="s">
        <v>1173</v>
      </c>
      <c r="C4" s="8" t="s">
        <v>1340</v>
      </c>
      <c r="D4" s="1">
        <v>8292461915</v>
      </c>
      <c r="E4" s="11" t="s">
        <v>182</v>
      </c>
      <c r="F4" s="11" t="s">
        <v>181</v>
      </c>
      <c r="G4" s="11" t="s">
        <v>175</v>
      </c>
      <c r="H4" s="11" t="s">
        <v>176</v>
      </c>
      <c r="I4" s="8" t="s">
        <v>177</v>
      </c>
      <c r="J4" s="12" t="s">
        <v>1176</v>
      </c>
      <c r="K4" t="b">
        <v>1</v>
      </c>
      <c r="L4" s="10">
        <v>44453</v>
      </c>
      <c r="M4"/>
    </row>
    <row r="5" spans="1:13" x14ac:dyDescent="0.2">
      <c r="A5">
        <v>0</v>
      </c>
      <c r="B5" s="12" t="s">
        <v>1043</v>
      </c>
      <c r="C5" s="8" t="s">
        <v>1313</v>
      </c>
      <c r="D5" s="1">
        <v>8295871102</v>
      </c>
      <c r="E5" s="11" t="s">
        <v>182</v>
      </c>
      <c r="F5" s="11" t="s">
        <v>181</v>
      </c>
      <c r="G5" s="11" t="s">
        <v>175</v>
      </c>
      <c r="H5" s="11" t="s">
        <v>176</v>
      </c>
      <c r="I5" s="8" t="s">
        <v>177</v>
      </c>
      <c r="J5" s="12" t="s">
        <v>1046</v>
      </c>
      <c r="K5" t="b">
        <v>1</v>
      </c>
      <c r="L5" s="10">
        <v>44445</v>
      </c>
      <c r="M5"/>
    </row>
    <row r="6" spans="1:13" x14ac:dyDescent="0.2">
      <c r="A6">
        <v>0</v>
      </c>
      <c r="B6" s="12" t="s">
        <v>1137</v>
      </c>
      <c r="C6" s="8" t="s">
        <v>1334</v>
      </c>
      <c r="D6" s="1">
        <v>8096622101</v>
      </c>
      <c r="E6" s="11" t="s">
        <v>182</v>
      </c>
      <c r="F6" s="11" t="s">
        <v>181</v>
      </c>
      <c r="G6" s="11" t="s">
        <v>175</v>
      </c>
      <c r="H6" s="11" t="s">
        <v>176</v>
      </c>
      <c r="I6" s="8" t="s">
        <v>177</v>
      </c>
      <c r="J6" s="12" t="s">
        <v>1140</v>
      </c>
      <c r="K6" t="b">
        <v>1</v>
      </c>
      <c r="L6" s="10">
        <v>44325</v>
      </c>
      <c r="M6"/>
    </row>
    <row r="7" spans="1:13" x14ac:dyDescent="0.2">
      <c r="A7">
        <v>0</v>
      </c>
      <c r="B7" s="12" t="s">
        <v>827</v>
      </c>
      <c r="C7" s="8" t="s">
        <v>1276</v>
      </c>
      <c r="D7" s="1">
        <v>8296067175</v>
      </c>
      <c r="E7" s="11" t="s">
        <v>393</v>
      </c>
      <c r="F7" s="11" t="s">
        <v>181</v>
      </c>
      <c r="G7" s="11" t="s">
        <v>175</v>
      </c>
      <c r="H7" s="11" t="s">
        <v>176</v>
      </c>
      <c r="I7" s="8" t="s">
        <v>177</v>
      </c>
      <c r="J7" s="12" t="s">
        <v>830</v>
      </c>
      <c r="K7" t="b">
        <v>1</v>
      </c>
      <c r="L7" s="10">
        <v>44368</v>
      </c>
      <c r="M7"/>
    </row>
    <row r="8" spans="1:13" x14ac:dyDescent="0.2">
      <c r="A8">
        <v>0</v>
      </c>
      <c r="B8" s="12" t="s">
        <v>192</v>
      </c>
      <c r="C8" s="8" t="s">
        <v>2597</v>
      </c>
      <c r="D8" s="1">
        <v>8095125174</v>
      </c>
      <c r="E8" s="11" t="s">
        <v>182</v>
      </c>
      <c r="F8" s="11" t="s">
        <v>181</v>
      </c>
      <c r="G8" s="11" t="s">
        <v>175</v>
      </c>
      <c r="H8" s="11" t="s">
        <v>176</v>
      </c>
      <c r="I8" s="8" t="s">
        <v>177</v>
      </c>
      <c r="J8" s="12" t="s">
        <v>195</v>
      </c>
      <c r="K8" t="b">
        <v>1</v>
      </c>
      <c r="L8" s="10">
        <v>44508</v>
      </c>
      <c r="M8"/>
    </row>
    <row r="9" spans="1:13" x14ac:dyDescent="0.2">
      <c r="A9">
        <v>0</v>
      </c>
      <c r="B9" s="12" t="s">
        <v>387</v>
      </c>
      <c r="C9" s="8" t="s">
        <v>1208</v>
      </c>
      <c r="D9" s="1">
        <v>8496585170</v>
      </c>
      <c r="E9" s="11" t="s">
        <v>393</v>
      </c>
      <c r="F9" s="11" t="s">
        <v>181</v>
      </c>
      <c r="G9" s="11" t="s">
        <v>175</v>
      </c>
      <c r="H9" s="11" t="s">
        <v>282</v>
      </c>
      <c r="I9" s="8" t="s">
        <v>177</v>
      </c>
      <c r="J9" s="12" t="s">
        <v>390</v>
      </c>
      <c r="K9" t="b">
        <v>1</v>
      </c>
      <c r="L9" s="10">
        <v>44253</v>
      </c>
      <c r="M9"/>
    </row>
    <row r="10" spans="1:13" x14ac:dyDescent="0.2">
      <c r="A10">
        <v>0</v>
      </c>
      <c r="B10" s="12" t="s">
        <v>1142</v>
      </c>
      <c r="C10" s="8" t="s">
        <v>1335</v>
      </c>
      <c r="D10" s="1">
        <v>8295100704</v>
      </c>
      <c r="E10" s="11" t="s">
        <v>182</v>
      </c>
      <c r="F10" s="11" t="s">
        <v>181</v>
      </c>
      <c r="G10" s="11" t="s">
        <v>175</v>
      </c>
      <c r="H10" s="11" t="s">
        <v>161</v>
      </c>
      <c r="I10" s="8" t="s">
        <v>177</v>
      </c>
      <c r="J10" s="12" t="s">
        <v>1145</v>
      </c>
      <c r="K10" t="b">
        <v>1</v>
      </c>
      <c r="L10" s="10">
        <v>44452</v>
      </c>
      <c r="M10"/>
    </row>
    <row r="11" spans="1:13" x14ac:dyDescent="0.2">
      <c r="A11">
        <v>0</v>
      </c>
      <c r="B11" s="12" t="s">
        <v>607</v>
      </c>
      <c r="C11" s="8" t="s">
        <v>1241</v>
      </c>
      <c r="D11" s="1">
        <v>8294181465</v>
      </c>
      <c r="E11" s="11" t="s">
        <v>182</v>
      </c>
      <c r="F11" s="11" t="s">
        <v>181</v>
      </c>
      <c r="G11" s="11" t="s">
        <v>175</v>
      </c>
      <c r="H11" s="11" t="s">
        <v>176</v>
      </c>
      <c r="I11" s="8" t="s">
        <v>177</v>
      </c>
      <c r="J11" s="12" t="s">
        <v>610</v>
      </c>
      <c r="K11" t="b">
        <v>1</v>
      </c>
      <c r="L11" s="10">
        <v>44328</v>
      </c>
      <c r="M11"/>
    </row>
    <row r="12" spans="1:13" x14ac:dyDescent="0.2">
      <c r="A12">
        <v>0</v>
      </c>
      <c r="B12" s="12" t="s">
        <v>673</v>
      </c>
      <c r="C12" s="8" t="s">
        <v>1252</v>
      </c>
      <c r="D12" s="1">
        <v>8096684954</v>
      </c>
      <c r="E12" s="11" t="s">
        <v>182</v>
      </c>
      <c r="F12" s="11" t="s">
        <v>181</v>
      </c>
      <c r="G12" s="11" t="s">
        <v>175</v>
      </c>
      <c r="H12" s="11" t="s">
        <v>176</v>
      </c>
      <c r="I12" s="8" t="s">
        <v>177</v>
      </c>
      <c r="J12" s="12" t="s">
        <v>675</v>
      </c>
      <c r="K12" t="b">
        <v>1</v>
      </c>
      <c r="L12" s="10">
        <v>44358</v>
      </c>
      <c r="M12"/>
    </row>
    <row r="13" spans="1:13" x14ac:dyDescent="0.2">
      <c r="A13">
        <v>0</v>
      </c>
      <c r="B13" s="12" t="s">
        <v>873</v>
      </c>
      <c r="C13" s="8" t="s">
        <v>1284</v>
      </c>
      <c r="D13" s="1">
        <v>8293968171</v>
      </c>
      <c r="E13" s="11" t="s">
        <v>393</v>
      </c>
      <c r="F13" s="11" t="s">
        <v>181</v>
      </c>
      <c r="G13" s="11" t="s">
        <v>175</v>
      </c>
      <c r="H13" s="11" t="s">
        <v>176</v>
      </c>
      <c r="I13" s="8" t="s">
        <v>177</v>
      </c>
      <c r="J13" s="12" t="s">
        <v>876</v>
      </c>
      <c r="K13" t="b">
        <v>1</v>
      </c>
      <c r="L13" s="10">
        <v>44405</v>
      </c>
      <c r="M13"/>
    </row>
    <row r="14" spans="1:13" x14ac:dyDescent="0.2">
      <c r="A14">
        <v>0</v>
      </c>
      <c r="B14" s="12" t="s">
        <v>1084</v>
      </c>
      <c r="C14" s="8" t="s">
        <v>1321</v>
      </c>
      <c r="D14" s="1">
        <v>8098971462</v>
      </c>
      <c r="E14" s="11" t="s">
        <v>182</v>
      </c>
      <c r="F14" s="11" t="s">
        <v>181</v>
      </c>
      <c r="G14" s="11" t="s">
        <v>175</v>
      </c>
      <c r="H14" s="11" t="s">
        <v>161</v>
      </c>
      <c r="I14" s="8" t="s">
        <v>177</v>
      </c>
      <c r="J14" s="12" t="s">
        <v>1087</v>
      </c>
      <c r="K14" t="b">
        <v>1</v>
      </c>
      <c r="L14" s="10">
        <v>44435</v>
      </c>
      <c r="M14"/>
    </row>
    <row r="15" spans="1:13" x14ac:dyDescent="0.2">
      <c r="A15">
        <v>0</v>
      </c>
      <c r="B15" s="12" t="s">
        <v>394</v>
      </c>
      <c r="C15" s="8" t="s">
        <v>1209</v>
      </c>
      <c r="D15" s="1">
        <v>8293592889</v>
      </c>
      <c r="E15" s="11" t="s">
        <v>393</v>
      </c>
      <c r="F15" s="11" t="s">
        <v>181</v>
      </c>
      <c r="G15" s="11" t="s">
        <v>175</v>
      </c>
      <c r="H15" s="11" t="s">
        <v>176</v>
      </c>
      <c r="I15" s="8" t="s">
        <v>177</v>
      </c>
      <c r="J15" s="12" t="s">
        <v>397</v>
      </c>
      <c r="K15" t="b">
        <v>1</v>
      </c>
      <c r="L15" s="10">
        <v>44253</v>
      </c>
      <c r="M15"/>
    </row>
    <row r="16" spans="1:13" x14ac:dyDescent="0.2">
      <c r="A16">
        <v>0</v>
      </c>
      <c r="B16" s="12" t="s">
        <v>1073</v>
      </c>
      <c r="C16" s="8" t="s">
        <v>1319</v>
      </c>
      <c r="D16" s="1">
        <v>8093568722</v>
      </c>
      <c r="E16" s="11" t="s">
        <v>182</v>
      </c>
      <c r="F16" s="11" t="s">
        <v>181</v>
      </c>
      <c r="G16" s="11" t="s">
        <v>175</v>
      </c>
      <c r="H16" s="11" t="s">
        <v>282</v>
      </c>
      <c r="I16" s="8" t="s">
        <v>177</v>
      </c>
      <c r="J16" s="12" t="s">
        <v>1076</v>
      </c>
      <c r="K16" t="b">
        <v>1</v>
      </c>
      <c r="L16" s="10">
        <v>44431</v>
      </c>
      <c r="M16"/>
    </row>
    <row r="17" spans="1:13" x14ac:dyDescent="0.2">
      <c r="A17">
        <v>0</v>
      </c>
      <c r="B17" s="12" t="s">
        <v>400</v>
      </c>
      <c r="C17" s="8" t="s">
        <v>1210</v>
      </c>
      <c r="D17" s="1">
        <v>8097157272</v>
      </c>
      <c r="E17" s="11" t="s">
        <v>393</v>
      </c>
      <c r="F17" s="11" t="s">
        <v>181</v>
      </c>
      <c r="G17" s="11" t="s">
        <v>175</v>
      </c>
      <c r="H17" s="11" t="s">
        <v>176</v>
      </c>
      <c r="I17" s="8" t="s">
        <v>177</v>
      </c>
      <c r="J17" s="12" t="s">
        <v>403</v>
      </c>
      <c r="K17" t="b">
        <v>1</v>
      </c>
      <c r="L17" s="10">
        <v>44253</v>
      </c>
      <c r="M17"/>
    </row>
    <row r="18" spans="1:13" x14ac:dyDescent="0.2">
      <c r="A18">
        <v>0</v>
      </c>
      <c r="B18" s="12" t="s">
        <v>810</v>
      </c>
      <c r="C18" s="8" t="s">
        <v>1257</v>
      </c>
      <c r="D18" s="1">
        <v>8292978133</v>
      </c>
      <c r="E18" s="11" t="s">
        <v>393</v>
      </c>
      <c r="F18" s="11" t="s">
        <v>181</v>
      </c>
      <c r="G18" s="11" t="s">
        <v>175</v>
      </c>
      <c r="H18" s="11" t="s">
        <v>176</v>
      </c>
      <c r="I18" s="8" t="s">
        <v>177</v>
      </c>
      <c r="J18" s="12" t="s">
        <v>697</v>
      </c>
      <c r="K18" t="b">
        <v>1</v>
      </c>
      <c r="L18" s="10">
        <v>44356</v>
      </c>
      <c r="M18"/>
    </row>
    <row r="19" spans="1:13" x14ac:dyDescent="0.2">
      <c r="A19">
        <v>0</v>
      </c>
      <c r="B19" s="12" t="s">
        <v>1058</v>
      </c>
      <c r="C19" s="8" t="s">
        <v>1316</v>
      </c>
      <c r="D19" s="1">
        <v>8298141894</v>
      </c>
      <c r="E19" s="11" t="s">
        <v>393</v>
      </c>
      <c r="F19" s="11" t="s">
        <v>181</v>
      </c>
      <c r="G19" s="11" t="s">
        <v>175</v>
      </c>
      <c r="H19" s="11" t="s">
        <v>176</v>
      </c>
      <c r="I19" s="8" t="s">
        <v>177</v>
      </c>
      <c r="J19" s="12" t="s">
        <v>1061</v>
      </c>
      <c r="K19" t="b">
        <v>1</v>
      </c>
      <c r="L19" s="10">
        <v>44421</v>
      </c>
      <c r="M19"/>
    </row>
    <row r="20" spans="1:13" x14ac:dyDescent="0.2">
      <c r="A20">
        <v>0</v>
      </c>
      <c r="B20" s="12" t="s">
        <v>992</v>
      </c>
      <c r="C20" s="8" t="s">
        <v>1305</v>
      </c>
      <c r="D20" s="1">
        <v>8296968259</v>
      </c>
      <c r="E20" s="11" t="s">
        <v>182</v>
      </c>
      <c r="F20" s="11" t="s">
        <v>181</v>
      </c>
      <c r="G20" s="11" t="s">
        <v>587</v>
      </c>
      <c r="H20" s="11" t="s">
        <v>587</v>
      </c>
      <c r="I20" s="8" t="s">
        <v>587</v>
      </c>
      <c r="J20" s="12" t="s">
        <v>201</v>
      </c>
      <c r="K20" t="b">
        <v>1</v>
      </c>
      <c r="L20" s="10">
        <v>44396</v>
      </c>
      <c r="M20"/>
    </row>
    <row r="21" spans="1:13" x14ac:dyDescent="0.2">
      <c r="A21">
        <v>0</v>
      </c>
      <c r="B21" s="12" t="s">
        <v>211</v>
      </c>
      <c r="C21" s="8" t="s">
        <v>1179</v>
      </c>
      <c r="D21" s="1">
        <v>8299219638</v>
      </c>
      <c r="E21" s="11" t="s">
        <v>182</v>
      </c>
      <c r="F21" s="11" t="s">
        <v>181</v>
      </c>
      <c r="G21" s="11" t="s">
        <v>160</v>
      </c>
      <c r="H21" s="11" t="s">
        <v>201</v>
      </c>
      <c r="I21" s="8" t="s">
        <v>160</v>
      </c>
      <c r="J21" s="12" t="s">
        <v>201</v>
      </c>
      <c r="K21" t="b">
        <v>1</v>
      </c>
      <c r="L21" s="10">
        <v>44253</v>
      </c>
      <c r="M21"/>
    </row>
    <row r="22" spans="1:13" x14ac:dyDescent="0.2">
      <c r="A22">
        <v>0</v>
      </c>
      <c r="B22" s="12" t="s">
        <v>216</v>
      </c>
      <c r="C22" s="8" t="s">
        <v>1180</v>
      </c>
      <c r="D22" s="1">
        <v>8099800556</v>
      </c>
      <c r="E22" s="11" t="s">
        <v>182</v>
      </c>
      <c r="F22" s="11" t="s">
        <v>181</v>
      </c>
      <c r="G22" s="11" t="s">
        <v>160</v>
      </c>
      <c r="H22" s="11" t="s">
        <v>201</v>
      </c>
      <c r="I22" s="8" t="s">
        <v>160</v>
      </c>
      <c r="J22" s="12" t="s">
        <v>219</v>
      </c>
      <c r="K22" t="b">
        <v>1</v>
      </c>
      <c r="L22" s="10">
        <v>44253</v>
      </c>
      <c r="M22"/>
    </row>
    <row r="23" spans="1:13" x14ac:dyDescent="0.2">
      <c r="A23">
        <v>0</v>
      </c>
      <c r="B23" s="12" t="s">
        <v>222</v>
      </c>
      <c r="C23" s="8" t="s">
        <v>1181</v>
      </c>
      <c r="D23" s="1">
        <v>8099862671</v>
      </c>
      <c r="E23" s="11" t="s">
        <v>182</v>
      </c>
      <c r="F23" s="11" t="s">
        <v>181</v>
      </c>
      <c r="G23" s="11" t="s">
        <v>175</v>
      </c>
      <c r="H23" s="11" t="s">
        <v>176</v>
      </c>
      <c r="I23" s="8" t="s">
        <v>177</v>
      </c>
      <c r="J23" s="12" t="s">
        <v>225</v>
      </c>
      <c r="K23" t="b">
        <v>1</v>
      </c>
      <c r="L23" s="10">
        <v>44253</v>
      </c>
      <c r="M23"/>
    </row>
    <row r="24" spans="1:13" x14ac:dyDescent="0.2">
      <c r="A24">
        <v>0</v>
      </c>
      <c r="B24" s="12" t="s">
        <v>2583</v>
      </c>
      <c r="C24" s="8" t="s">
        <v>2591</v>
      </c>
      <c r="D24" s="1">
        <v>8299790354</v>
      </c>
      <c r="E24" s="11" t="s">
        <v>182</v>
      </c>
      <c r="F24" s="11" t="s">
        <v>181</v>
      </c>
      <c r="G24" s="11" t="s">
        <v>175</v>
      </c>
      <c r="H24" s="11" t="s">
        <v>176</v>
      </c>
      <c r="I24" s="8" t="s">
        <v>177</v>
      </c>
      <c r="J24" s="12" t="s">
        <v>2585</v>
      </c>
      <c r="K24" t="b">
        <v>1</v>
      </c>
      <c r="L24" s="10">
        <v>44502</v>
      </c>
      <c r="M24"/>
    </row>
    <row r="25" spans="1:13" x14ac:dyDescent="0.2">
      <c r="A25">
        <v>0</v>
      </c>
      <c r="B25" s="12" t="s">
        <v>406</v>
      </c>
      <c r="C25" s="8" t="s">
        <v>1211</v>
      </c>
      <c r="D25" s="1">
        <v>8292137523</v>
      </c>
      <c r="E25" s="11" t="s">
        <v>393</v>
      </c>
      <c r="F25" s="11" t="s">
        <v>181</v>
      </c>
      <c r="G25" s="11" t="s">
        <v>175</v>
      </c>
      <c r="H25" s="11" t="s">
        <v>176</v>
      </c>
      <c r="I25" s="8" t="s">
        <v>177</v>
      </c>
      <c r="J25" s="12" t="s">
        <v>409</v>
      </c>
      <c r="K25" t="b">
        <v>1</v>
      </c>
      <c r="L25" s="10">
        <v>44253</v>
      </c>
      <c r="M25"/>
    </row>
    <row r="26" spans="1:13" x14ac:dyDescent="0.2">
      <c r="A26">
        <v>0</v>
      </c>
      <c r="B26" s="12" t="s">
        <v>417</v>
      </c>
      <c r="C26" s="8" t="s">
        <v>2592</v>
      </c>
      <c r="D26" s="1">
        <v>8097191524</v>
      </c>
      <c r="E26" s="11" t="s">
        <v>393</v>
      </c>
      <c r="F26" s="11" t="s">
        <v>181</v>
      </c>
      <c r="G26" s="11" t="s">
        <v>175</v>
      </c>
      <c r="H26" s="11" t="s">
        <v>176</v>
      </c>
      <c r="I26" s="8" t="s">
        <v>177</v>
      </c>
      <c r="J26" s="12" t="s">
        <v>419</v>
      </c>
      <c r="K26" t="b">
        <v>1</v>
      </c>
      <c r="L26" s="10">
        <v>44502</v>
      </c>
      <c r="M26"/>
    </row>
    <row r="27" spans="1:13" x14ac:dyDescent="0.2">
      <c r="A27">
        <v>0</v>
      </c>
      <c r="B27" s="12" t="s">
        <v>412</v>
      </c>
      <c r="C27" s="8" t="s">
        <v>1212</v>
      </c>
      <c r="D27" s="1">
        <v>8294607330</v>
      </c>
      <c r="E27" s="11" t="s">
        <v>393</v>
      </c>
      <c r="F27" s="11" t="s">
        <v>181</v>
      </c>
      <c r="G27" s="11" t="s">
        <v>160</v>
      </c>
      <c r="H27" s="11" t="s">
        <v>201</v>
      </c>
      <c r="I27" s="8" t="s">
        <v>160</v>
      </c>
      <c r="J27" s="12" t="s">
        <v>201</v>
      </c>
      <c r="K27" t="b">
        <v>1</v>
      </c>
      <c r="L27" s="10">
        <v>44253</v>
      </c>
      <c r="M27"/>
    </row>
    <row r="28" spans="1:13" x14ac:dyDescent="0.2">
      <c r="A28">
        <v>0</v>
      </c>
      <c r="B28" s="12" t="s">
        <v>703</v>
      </c>
      <c r="C28" s="8" t="s">
        <v>1258</v>
      </c>
      <c r="D28" s="1">
        <v>8292072634</v>
      </c>
      <c r="E28" s="11" t="s">
        <v>182</v>
      </c>
      <c r="F28" s="11" t="s">
        <v>181</v>
      </c>
      <c r="G28" s="11" t="s">
        <v>175</v>
      </c>
      <c r="H28" s="11" t="s">
        <v>176</v>
      </c>
      <c r="I28" s="8" t="s">
        <v>177</v>
      </c>
      <c r="J28" s="12" t="s">
        <v>706</v>
      </c>
      <c r="K28" t="b">
        <v>1</v>
      </c>
      <c r="L28" s="10">
        <v>44359</v>
      </c>
      <c r="M28"/>
    </row>
    <row r="29" spans="1:13" x14ac:dyDescent="0.2">
      <c r="A29">
        <v>0</v>
      </c>
      <c r="B29" s="12" t="s">
        <v>422</v>
      </c>
      <c r="C29" s="8" t="s">
        <v>1213</v>
      </c>
      <c r="D29" s="1">
        <v>8099090584</v>
      </c>
      <c r="E29" s="11" t="s">
        <v>393</v>
      </c>
      <c r="F29" s="11" t="s">
        <v>181</v>
      </c>
      <c r="G29" s="11" t="s">
        <v>175</v>
      </c>
      <c r="H29" s="11" t="s">
        <v>201</v>
      </c>
      <c r="I29" s="8" t="s">
        <v>177</v>
      </c>
      <c r="J29" s="12" t="s">
        <v>425</v>
      </c>
      <c r="K29" t="b">
        <v>1</v>
      </c>
      <c r="L29" s="10">
        <v>44253</v>
      </c>
      <c r="M29"/>
    </row>
    <row r="30" spans="1:13" x14ac:dyDescent="0.2">
      <c r="A30">
        <v>0</v>
      </c>
      <c r="B30" s="12" t="s">
        <v>228</v>
      </c>
      <c r="C30" s="8" t="s">
        <v>1182</v>
      </c>
      <c r="D30" s="1">
        <v>8298992467</v>
      </c>
      <c r="E30" s="11" t="s">
        <v>182</v>
      </c>
      <c r="F30" s="11" t="s">
        <v>181</v>
      </c>
      <c r="G30" s="11" t="s">
        <v>175</v>
      </c>
      <c r="H30" s="11" t="s">
        <v>176</v>
      </c>
      <c r="I30" s="8" t="s">
        <v>177</v>
      </c>
      <c r="J30" s="12" t="s">
        <v>231</v>
      </c>
      <c r="K30" t="b">
        <v>1</v>
      </c>
      <c r="L30" s="10">
        <v>44253</v>
      </c>
      <c r="M30"/>
    </row>
    <row r="31" spans="1:13" x14ac:dyDescent="0.2">
      <c r="A31">
        <v>0</v>
      </c>
      <c r="B31" s="12" t="s">
        <v>428</v>
      </c>
      <c r="C31" s="8" t="s">
        <v>1214</v>
      </c>
      <c r="D31" s="1">
        <v>8098464322</v>
      </c>
      <c r="E31" s="11" t="s">
        <v>393</v>
      </c>
      <c r="F31" s="11" t="s">
        <v>181</v>
      </c>
      <c r="G31" s="11" t="s">
        <v>175</v>
      </c>
      <c r="H31" s="11" t="s">
        <v>282</v>
      </c>
      <c r="I31" s="8" t="s">
        <v>177</v>
      </c>
      <c r="J31" s="12" t="s">
        <v>431</v>
      </c>
      <c r="K31" t="b">
        <v>1</v>
      </c>
      <c r="L31" s="10">
        <v>44253</v>
      </c>
      <c r="M31"/>
    </row>
    <row r="32" spans="1:13" x14ac:dyDescent="0.2">
      <c r="A32">
        <v>0</v>
      </c>
      <c r="B32" s="12" t="s">
        <v>928</v>
      </c>
      <c r="C32" s="8" t="s">
        <v>1294</v>
      </c>
      <c r="D32" s="1">
        <v>8293803814</v>
      </c>
      <c r="E32" s="11" t="s">
        <v>393</v>
      </c>
      <c r="F32" s="11" t="s">
        <v>181</v>
      </c>
      <c r="G32" s="11" t="s">
        <v>175</v>
      </c>
      <c r="H32" s="11" t="s">
        <v>282</v>
      </c>
      <c r="I32" s="8" t="s">
        <v>177</v>
      </c>
      <c r="J32" s="12" t="s">
        <v>931</v>
      </c>
      <c r="K32" t="b">
        <v>1</v>
      </c>
      <c r="L32" s="10">
        <v>44378</v>
      </c>
      <c r="M32"/>
    </row>
    <row r="33" spans="1:13" x14ac:dyDescent="0.2">
      <c r="A33">
        <v>0</v>
      </c>
      <c r="B33" s="12" t="s">
        <v>234</v>
      </c>
      <c r="C33" s="8" t="s">
        <v>1183</v>
      </c>
      <c r="D33" s="1">
        <v>8299234696</v>
      </c>
      <c r="E33" s="11" t="s">
        <v>182</v>
      </c>
      <c r="F33" s="11" t="s">
        <v>181</v>
      </c>
      <c r="G33" s="11" t="s">
        <v>175</v>
      </c>
      <c r="H33" s="11" t="s">
        <v>176</v>
      </c>
      <c r="I33" s="8" t="s">
        <v>177</v>
      </c>
      <c r="J33" s="12" t="s">
        <v>237</v>
      </c>
      <c r="K33" t="b">
        <v>1</v>
      </c>
      <c r="L33" s="10">
        <v>44253</v>
      </c>
      <c r="M33"/>
    </row>
    <row r="34" spans="1:13" x14ac:dyDescent="0.2">
      <c r="A34">
        <v>0</v>
      </c>
      <c r="B34" s="12" t="s">
        <v>951</v>
      </c>
      <c r="C34" s="8" t="s">
        <v>1297</v>
      </c>
      <c r="D34" s="1">
        <v>8097174567</v>
      </c>
      <c r="E34" s="11" t="s">
        <v>393</v>
      </c>
      <c r="F34" s="11" t="s">
        <v>181</v>
      </c>
      <c r="G34" s="11" t="s">
        <v>175</v>
      </c>
      <c r="H34" s="11" t="s">
        <v>282</v>
      </c>
      <c r="I34" s="8" t="s">
        <v>177</v>
      </c>
      <c r="J34" s="12" t="s">
        <v>2339</v>
      </c>
      <c r="K34" t="b">
        <v>1</v>
      </c>
      <c r="L34" s="10">
        <v>44392</v>
      </c>
      <c r="M34"/>
    </row>
    <row r="35" spans="1:13" x14ac:dyDescent="0.2">
      <c r="A35">
        <v>0</v>
      </c>
      <c r="B35" s="12" t="s">
        <v>669</v>
      </c>
      <c r="C35" s="8" t="s">
        <v>1251</v>
      </c>
      <c r="D35" s="1">
        <v>8296998292</v>
      </c>
      <c r="E35" s="11" t="s">
        <v>182</v>
      </c>
      <c r="F35" s="11" t="s">
        <v>181</v>
      </c>
      <c r="G35" s="11" t="s">
        <v>160</v>
      </c>
      <c r="H35" s="11" t="s">
        <v>201</v>
      </c>
      <c r="I35" s="8" t="s">
        <v>160</v>
      </c>
      <c r="K35" t="b">
        <v>1</v>
      </c>
      <c r="L35" s="10">
        <v>44358</v>
      </c>
      <c r="M35"/>
    </row>
    <row r="36" spans="1:13" x14ac:dyDescent="0.2">
      <c r="A36">
        <v>0</v>
      </c>
      <c r="B36" s="12" t="s">
        <v>723</v>
      </c>
      <c r="C36" s="8" t="s">
        <v>1262</v>
      </c>
      <c r="D36" s="1">
        <v>8298636480</v>
      </c>
      <c r="E36" s="11" t="s">
        <v>182</v>
      </c>
      <c r="F36" s="11" t="s">
        <v>181</v>
      </c>
      <c r="G36" s="11" t="s">
        <v>175</v>
      </c>
      <c r="H36" s="11" t="s">
        <v>161</v>
      </c>
      <c r="I36" s="8" t="s">
        <v>177</v>
      </c>
      <c r="J36" s="12" t="s">
        <v>726</v>
      </c>
      <c r="K36" t="b">
        <v>1</v>
      </c>
      <c r="L36" s="10">
        <v>44358</v>
      </c>
      <c r="M36"/>
    </row>
    <row r="37" spans="1:13" x14ac:dyDescent="0.2">
      <c r="A37">
        <v>0</v>
      </c>
      <c r="B37" s="12" t="s">
        <v>434</v>
      </c>
      <c r="C37" s="8" t="s">
        <v>1215</v>
      </c>
      <c r="D37" s="1">
        <v>8292188841</v>
      </c>
      <c r="E37" s="11" t="s">
        <v>393</v>
      </c>
      <c r="F37" s="11" t="s">
        <v>181</v>
      </c>
      <c r="G37" s="11" t="s">
        <v>175</v>
      </c>
      <c r="H37" s="11" t="s">
        <v>282</v>
      </c>
      <c r="I37" s="8" t="s">
        <v>177</v>
      </c>
      <c r="J37" s="12" t="s">
        <v>437</v>
      </c>
      <c r="K37" t="b">
        <v>1</v>
      </c>
      <c r="L37" s="10">
        <v>44253</v>
      </c>
      <c r="M37"/>
    </row>
    <row r="38" spans="1:13" x14ac:dyDescent="0.2">
      <c r="A38">
        <v>0</v>
      </c>
      <c r="B38" s="12" t="s">
        <v>630</v>
      </c>
      <c r="C38" s="8" t="s">
        <v>1244</v>
      </c>
      <c r="D38" s="1">
        <v>8296472130</v>
      </c>
      <c r="E38" s="11" t="s">
        <v>182</v>
      </c>
      <c r="F38" s="11" t="s">
        <v>181</v>
      </c>
      <c r="G38" s="11" t="s">
        <v>175</v>
      </c>
      <c r="H38" s="11" t="s">
        <v>176</v>
      </c>
      <c r="I38" s="8" t="s">
        <v>177</v>
      </c>
      <c r="J38" s="12" t="s">
        <v>633</v>
      </c>
      <c r="K38" t="b">
        <v>1</v>
      </c>
      <c r="L38" s="10">
        <v>44348</v>
      </c>
      <c r="M38"/>
    </row>
    <row r="39" spans="1:13" x14ac:dyDescent="0.2">
      <c r="A39">
        <v>0</v>
      </c>
      <c r="B39" s="12" t="s">
        <v>1156</v>
      </c>
      <c r="C39" s="8" t="s">
        <v>1337</v>
      </c>
      <c r="D39" s="1">
        <v>8098854879</v>
      </c>
      <c r="E39" s="11" t="s">
        <v>393</v>
      </c>
      <c r="F39" s="11" t="s">
        <v>181</v>
      </c>
      <c r="G39" s="11" t="s">
        <v>175</v>
      </c>
      <c r="H39" s="11" t="s">
        <v>176</v>
      </c>
      <c r="I39" s="8" t="s">
        <v>177</v>
      </c>
      <c r="J39" s="12" t="s">
        <v>1159</v>
      </c>
      <c r="K39" t="b">
        <v>1</v>
      </c>
      <c r="L39" s="10">
        <v>44448</v>
      </c>
      <c r="M39"/>
    </row>
    <row r="40" spans="1:13" x14ac:dyDescent="0.2">
      <c r="A40">
        <v>0</v>
      </c>
      <c r="B40" s="12" t="s">
        <v>681</v>
      </c>
      <c r="C40" s="8" t="s">
        <v>1254</v>
      </c>
      <c r="D40" s="1">
        <v>8495422730</v>
      </c>
      <c r="E40" s="11" t="s">
        <v>182</v>
      </c>
      <c r="F40" s="11" t="s">
        <v>181</v>
      </c>
      <c r="G40" s="11" t="s">
        <v>160</v>
      </c>
      <c r="H40" s="11" t="s">
        <v>201</v>
      </c>
      <c r="I40" s="8" t="s">
        <v>160</v>
      </c>
      <c r="K40" t="b">
        <v>1</v>
      </c>
      <c r="L40" s="10">
        <v>44358</v>
      </c>
      <c r="M40"/>
    </row>
    <row r="41" spans="1:13" x14ac:dyDescent="0.2">
      <c r="A41">
        <v>0</v>
      </c>
      <c r="B41" s="12" t="s">
        <v>2343</v>
      </c>
      <c r="C41" s="8" t="s">
        <v>2377</v>
      </c>
      <c r="D41" s="1">
        <v>8098656357</v>
      </c>
      <c r="E41" s="11" t="s">
        <v>393</v>
      </c>
      <c r="F41" s="11" t="s">
        <v>181</v>
      </c>
      <c r="G41" s="11" t="s">
        <v>175</v>
      </c>
      <c r="H41" s="11" t="s">
        <v>176</v>
      </c>
      <c r="I41" s="8" t="s">
        <v>177</v>
      </c>
      <c r="J41" s="12" t="s">
        <v>2346</v>
      </c>
      <c r="K41" t="b">
        <v>1</v>
      </c>
      <c r="L41" s="10">
        <v>44452</v>
      </c>
      <c r="M41"/>
    </row>
    <row r="42" spans="1:13" x14ac:dyDescent="0.2">
      <c r="A42">
        <v>0</v>
      </c>
      <c r="B42" s="12" t="s">
        <v>2459</v>
      </c>
      <c r="C42" s="8" t="s">
        <v>2485</v>
      </c>
      <c r="D42" s="1">
        <v>8099647615</v>
      </c>
      <c r="E42" s="11" t="s">
        <v>182</v>
      </c>
      <c r="F42" s="11" t="s">
        <v>181</v>
      </c>
      <c r="G42" s="11" t="s">
        <v>175</v>
      </c>
      <c r="H42" s="11" t="s">
        <v>282</v>
      </c>
      <c r="I42" s="8" t="s">
        <v>177</v>
      </c>
      <c r="J42" s="12" t="s">
        <v>2461</v>
      </c>
      <c r="K42" t="b">
        <v>1</v>
      </c>
      <c r="L42" s="10">
        <v>44487</v>
      </c>
      <c r="M42"/>
    </row>
    <row r="43" spans="1:13" x14ac:dyDescent="0.2">
      <c r="A43">
        <v>0</v>
      </c>
      <c r="B43" s="12" t="s">
        <v>247</v>
      </c>
      <c r="C43" s="8" t="s">
        <v>1184</v>
      </c>
      <c r="D43" s="1">
        <v>8097156276</v>
      </c>
      <c r="E43" s="11" t="s">
        <v>182</v>
      </c>
      <c r="F43" s="11" t="s">
        <v>181</v>
      </c>
      <c r="G43" s="11" t="s">
        <v>160</v>
      </c>
      <c r="H43" s="11" t="s">
        <v>201</v>
      </c>
      <c r="I43" s="8" t="s">
        <v>160</v>
      </c>
      <c r="J43" s="12" t="s">
        <v>201</v>
      </c>
      <c r="K43" t="b">
        <v>1</v>
      </c>
      <c r="L43" s="10">
        <v>44253</v>
      </c>
      <c r="M43"/>
    </row>
    <row r="44" spans="1:13" x14ac:dyDescent="0.2">
      <c r="A44">
        <v>0</v>
      </c>
      <c r="B44" s="12" t="s">
        <v>932</v>
      </c>
      <c r="C44" s="8" t="s">
        <v>2318</v>
      </c>
      <c r="D44" s="1">
        <v>8493604810</v>
      </c>
      <c r="E44" s="11" t="s">
        <v>393</v>
      </c>
      <c r="F44" s="11" t="s">
        <v>181</v>
      </c>
      <c r="G44" s="11" t="s">
        <v>175</v>
      </c>
      <c r="H44" s="11" t="s">
        <v>176</v>
      </c>
      <c r="I44" s="8" t="s">
        <v>177</v>
      </c>
      <c r="J44" s="12" t="s">
        <v>935</v>
      </c>
      <c r="K44" t="b">
        <v>1</v>
      </c>
      <c r="L44" s="10">
        <v>44382</v>
      </c>
      <c r="M44"/>
    </row>
    <row r="45" spans="1:13" x14ac:dyDescent="0.2">
      <c r="A45">
        <v>0</v>
      </c>
      <c r="B45" s="12" t="s">
        <v>657</v>
      </c>
      <c r="C45" s="8" t="s">
        <v>1248</v>
      </c>
      <c r="D45" s="1">
        <v>8096270966</v>
      </c>
      <c r="E45" s="11" t="s">
        <v>393</v>
      </c>
      <c r="F45" s="11" t="s">
        <v>181</v>
      </c>
      <c r="G45" s="11" t="s">
        <v>175</v>
      </c>
      <c r="H45" s="11" t="s">
        <v>176</v>
      </c>
      <c r="I45" s="8" t="s">
        <v>177</v>
      </c>
      <c r="J45" s="12" t="s">
        <v>660</v>
      </c>
      <c r="K45" t="b">
        <v>1</v>
      </c>
      <c r="L45" s="10">
        <v>44358</v>
      </c>
      <c r="M45"/>
    </row>
    <row r="46" spans="1:13" x14ac:dyDescent="0.2">
      <c r="A46">
        <v>0</v>
      </c>
      <c r="B46" s="12" t="s">
        <v>889</v>
      </c>
      <c r="C46" s="8" t="s">
        <v>1287</v>
      </c>
      <c r="D46" s="1">
        <v>8099961173</v>
      </c>
      <c r="E46" s="11" t="s">
        <v>393</v>
      </c>
      <c r="F46" s="11" t="s">
        <v>181</v>
      </c>
      <c r="G46" s="11" t="s">
        <v>175</v>
      </c>
      <c r="H46" s="11" t="s">
        <v>243</v>
      </c>
      <c r="I46" s="8" t="s">
        <v>177</v>
      </c>
      <c r="J46" s="12" t="s">
        <v>892</v>
      </c>
      <c r="K46" t="b">
        <v>1</v>
      </c>
      <c r="L46" s="10">
        <v>44368</v>
      </c>
      <c r="M46"/>
    </row>
    <row r="47" spans="1:13" x14ac:dyDescent="0.2">
      <c r="A47">
        <v>0</v>
      </c>
      <c r="B47" s="12" t="s">
        <v>440</v>
      </c>
      <c r="C47" s="8" t="s">
        <v>1216</v>
      </c>
      <c r="D47" s="1">
        <v>8292842800</v>
      </c>
      <c r="E47" s="11" t="s">
        <v>393</v>
      </c>
      <c r="F47" s="11" t="s">
        <v>181</v>
      </c>
      <c r="G47" s="11" t="s">
        <v>175</v>
      </c>
      <c r="H47" s="11" t="s">
        <v>282</v>
      </c>
      <c r="I47" s="8" t="s">
        <v>177</v>
      </c>
      <c r="J47" s="12" t="s">
        <v>443</v>
      </c>
      <c r="K47" t="b">
        <v>1</v>
      </c>
      <c r="L47" s="10">
        <v>44253</v>
      </c>
      <c r="M47"/>
    </row>
    <row r="48" spans="1:13" x14ac:dyDescent="0.2">
      <c r="A48">
        <v>0</v>
      </c>
      <c r="B48" s="12" t="s">
        <v>2441</v>
      </c>
      <c r="C48" s="8" t="s">
        <v>2486</v>
      </c>
      <c r="D48" s="1">
        <v>8296554988</v>
      </c>
      <c r="E48" s="11" t="s">
        <v>182</v>
      </c>
      <c r="F48" s="11" t="s">
        <v>181</v>
      </c>
      <c r="G48" s="11" t="s">
        <v>587</v>
      </c>
      <c r="H48" s="11" t="s">
        <v>282</v>
      </c>
      <c r="I48" s="8" t="s">
        <v>587</v>
      </c>
      <c r="K48" t="b">
        <v>1</v>
      </c>
      <c r="L48" s="10">
        <v>44487</v>
      </c>
      <c r="M48"/>
    </row>
    <row r="49" spans="1:13" x14ac:dyDescent="0.2">
      <c r="A49">
        <v>0</v>
      </c>
      <c r="B49" s="12" t="s">
        <v>646</v>
      </c>
      <c r="C49" s="8" t="s">
        <v>1246</v>
      </c>
      <c r="D49" s="1">
        <v>8294999975</v>
      </c>
      <c r="E49" s="11" t="s">
        <v>182</v>
      </c>
      <c r="F49" s="11" t="s">
        <v>181</v>
      </c>
      <c r="G49" s="11" t="s">
        <v>175</v>
      </c>
      <c r="H49" s="11" t="s">
        <v>282</v>
      </c>
      <c r="I49" s="8" t="s">
        <v>177</v>
      </c>
      <c r="J49" s="12" t="s">
        <v>649</v>
      </c>
      <c r="K49" t="b">
        <v>1</v>
      </c>
      <c r="L49" s="10">
        <v>44358</v>
      </c>
      <c r="M49"/>
    </row>
    <row r="50" spans="1:13" x14ac:dyDescent="0.2">
      <c r="A50">
        <v>0</v>
      </c>
      <c r="B50" s="12" t="s">
        <v>1092</v>
      </c>
      <c r="C50" s="8" t="s">
        <v>1323</v>
      </c>
      <c r="D50" s="1">
        <v>8292745216</v>
      </c>
      <c r="E50" s="11" t="s">
        <v>182</v>
      </c>
      <c r="F50" s="11" t="s">
        <v>181</v>
      </c>
      <c r="G50" s="11" t="s">
        <v>175</v>
      </c>
      <c r="H50" s="11" t="s">
        <v>161</v>
      </c>
      <c r="I50" s="8" t="s">
        <v>177</v>
      </c>
      <c r="J50" s="12" t="s">
        <v>1095</v>
      </c>
      <c r="K50" t="b">
        <v>1</v>
      </c>
      <c r="L50" s="10">
        <v>44436</v>
      </c>
      <c r="M50"/>
    </row>
    <row r="51" spans="1:13" x14ac:dyDescent="0.2">
      <c r="A51">
        <v>0</v>
      </c>
      <c r="B51" s="12" t="s">
        <v>547</v>
      </c>
      <c r="C51" s="8" t="s">
        <v>1234</v>
      </c>
      <c r="D51" s="1">
        <v>8292486682</v>
      </c>
      <c r="E51" s="11" t="s">
        <v>182</v>
      </c>
      <c r="F51" s="11" t="s">
        <v>181</v>
      </c>
      <c r="G51" s="11" t="s">
        <v>175</v>
      </c>
      <c r="H51" s="11" t="s">
        <v>282</v>
      </c>
      <c r="I51" s="8" t="s">
        <v>177</v>
      </c>
      <c r="J51" s="12" t="s">
        <v>550</v>
      </c>
      <c r="K51" t="b">
        <v>1</v>
      </c>
      <c r="L51" s="10">
        <v>44358</v>
      </c>
      <c r="M51"/>
    </row>
    <row r="52" spans="1:13" x14ac:dyDescent="0.2">
      <c r="A52">
        <v>0</v>
      </c>
      <c r="B52" s="12" t="s">
        <v>446</v>
      </c>
      <c r="C52" s="8" t="s">
        <v>1217</v>
      </c>
      <c r="D52" s="1">
        <v>8293437851</v>
      </c>
      <c r="E52" s="11" t="s">
        <v>393</v>
      </c>
      <c r="F52" s="11" t="s">
        <v>181</v>
      </c>
      <c r="G52" s="11" t="s">
        <v>175</v>
      </c>
      <c r="H52" s="11" t="s">
        <v>282</v>
      </c>
      <c r="I52" s="8" t="s">
        <v>177</v>
      </c>
      <c r="J52" s="12" t="s">
        <v>449</v>
      </c>
      <c r="K52" t="b">
        <v>1</v>
      </c>
      <c r="L52" s="10">
        <v>44253</v>
      </c>
      <c r="M52"/>
    </row>
    <row r="53" spans="1:13" x14ac:dyDescent="0.2">
      <c r="A53">
        <v>0</v>
      </c>
      <c r="B53" s="12" t="s">
        <v>2432</v>
      </c>
      <c r="C53" s="8" t="s">
        <v>2487</v>
      </c>
      <c r="D53" s="1">
        <v>8293476119</v>
      </c>
      <c r="E53" s="11" t="s">
        <v>182</v>
      </c>
      <c r="F53" s="11" t="s">
        <v>181</v>
      </c>
      <c r="G53" s="11" t="s">
        <v>175</v>
      </c>
      <c r="H53" s="11" t="s">
        <v>176</v>
      </c>
      <c r="I53" s="8" t="s">
        <v>177</v>
      </c>
      <c r="J53" s="12" t="s">
        <v>2435</v>
      </c>
      <c r="K53" t="b">
        <v>1</v>
      </c>
      <c r="L53" s="10">
        <v>44467</v>
      </c>
      <c r="M53"/>
    </row>
    <row r="54" spans="1:13" x14ac:dyDescent="0.2">
      <c r="A54">
        <v>0</v>
      </c>
      <c r="B54" s="12" t="s">
        <v>590</v>
      </c>
      <c r="C54" s="8" t="s">
        <v>1239</v>
      </c>
      <c r="D54" s="1">
        <v>8096713342</v>
      </c>
      <c r="E54" s="11" t="s">
        <v>393</v>
      </c>
      <c r="F54" s="11" t="s">
        <v>181</v>
      </c>
      <c r="G54" s="11" t="s">
        <v>160</v>
      </c>
      <c r="H54" s="11" t="s">
        <v>201</v>
      </c>
      <c r="I54" s="8" t="s">
        <v>160</v>
      </c>
      <c r="K54" t="b">
        <v>1</v>
      </c>
      <c r="L54" s="10">
        <v>44358</v>
      </c>
      <c r="M54"/>
    </row>
    <row r="55" spans="1:13" x14ac:dyDescent="0.2">
      <c r="A55">
        <v>0</v>
      </c>
      <c r="B55" s="12" t="s">
        <v>1161</v>
      </c>
      <c r="C55" s="8" t="s">
        <v>1338</v>
      </c>
      <c r="D55" s="1">
        <v>8294471732</v>
      </c>
      <c r="E55" s="11" t="s">
        <v>393</v>
      </c>
      <c r="F55" s="11" t="s">
        <v>181</v>
      </c>
      <c r="G55" s="11" t="s">
        <v>175</v>
      </c>
      <c r="H55" s="11" t="s">
        <v>176</v>
      </c>
      <c r="I55" s="8" t="s">
        <v>177</v>
      </c>
      <c r="J55" s="12" t="s">
        <v>1164</v>
      </c>
      <c r="K55" t="b">
        <v>1</v>
      </c>
      <c r="L55" s="10">
        <v>44441</v>
      </c>
      <c r="M55"/>
    </row>
    <row r="56" spans="1:13" x14ac:dyDescent="0.2">
      <c r="A56">
        <v>0</v>
      </c>
      <c r="B56" s="12" t="s">
        <v>744</v>
      </c>
      <c r="C56" s="8" t="s">
        <v>1266</v>
      </c>
      <c r="D56" s="1">
        <v>8492516677</v>
      </c>
      <c r="E56" s="11" t="s">
        <v>182</v>
      </c>
      <c r="F56" s="11" t="s">
        <v>181</v>
      </c>
      <c r="G56" s="11" t="s">
        <v>175</v>
      </c>
      <c r="H56" s="11" t="s">
        <v>176</v>
      </c>
      <c r="I56" s="8" t="s">
        <v>177</v>
      </c>
      <c r="J56" s="12" t="s">
        <v>747</v>
      </c>
      <c r="K56" t="b">
        <v>1</v>
      </c>
      <c r="L56" s="10">
        <v>44356</v>
      </c>
      <c r="M56"/>
    </row>
    <row r="57" spans="1:13" x14ac:dyDescent="0.2">
      <c r="A57">
        <v>0</v>
      </c>
      <c r="B57" s="12" t="s">
        <v>852</v>
      </c>
      <c r="C57" s="8" t="s">
        <v>1280</v>
      </c>
      <c r="D57" s="1">
        <v>8098775762</v>
      </c>
      <c r="E57" s="11" t="s">
        <v>393</v>
      </c>
      <c r="F57" s="11" t="s">
        <v>181</v>
      </c>
      <c r="G57" s="11" t="s">
        <v>175</v>
      </c>
      <c r="H57" s="11" t="s">
        <v>161</v>
      </c>
      <c r="I57" s="8" t="s">
        <v>177</v>
      </c>
      <c r="J57" s="12" t="s">
        <v>855</v>
      </c>
      <c r="K57" t="b">
        <v>1</v>
      </c>
      <c r="L57" s="10">
        <v>44377</v>
      </c>
      <c r="M57"/>
    </row>
    <row r="58" spans="1:13" x14ac:dyDescent="0.2">
      <c r="A58">
        <v>0</v>
      </c>
      <c r="B58" s="12" t="s">
        <v>1107</v>
      </c>
      <c r="C58" s="8" t="s">
        <v>1327</v>
      </c>
      <c r="D58" s="1">
        <v>8096176706</v>
      </c>
      <c r="E58" s="11" t="s">
        <v>393</v>
      </c>
      <c r="F58" s="11" t="s">
        <v>181</v>
      </c>
      <c r="G58" s="11" t="s">
        <v>175</v>
      </c>
      <c r="H58" s="11" t="s">
        <v>176</v>
      </c>
      <c r="I58" s="8" t="s">
        <v>177</v>
      </c>
      <c r="J58" s="12" t="s">
        <v>1110</v>
      </c>
      <c r="K58" t="b">
        <v>1</v>
      </c>
      <c r="L58" s="10">
        <v>44442</v>
      </c>
      <c r="M58"/>
    </row>
    <row r="59" spans="1:13" x14ac:dyDescent="0.2">
      <c r="A59">
        <v>0</v>
      </c>
      <c r="B59" s="12" t="s">
        <v>728</v>
      </c>
      <c r="C59" s="8" t="s">
        <v>1263</v>
      </c>
      <c r="D59" s="1">
        <v>8097185662</v>
      </c>
      <c r="E59" s="11" t="s">
        <v>393</v>
      </c>
      <c r="F59" s="11" t="s">
        <v>181</v>
      </c>
      <c r="G59" s="11" t="s">
        <v>160</v>
      </c>
      <c r="H59" s="11" t="s">
        <v>201</v>
      </c>
      <c r="I59" s="8" t="s">
        <v>160</v>
      </c>
      <c r="K59" t="b">
        <v>1</v>
      </c>
      <c r="L59" s="10">
        <v>44359</v>
      </c>
      <c r="M59"/>
    </row>
    <row r="60" spans="1:13" x14ac:dyDescent="0.2">
      <c r="A60">
        <v>0</v>
      </c>
      <c r="B60" s="12" t="s">
        <v>452</v>
      </c>
      <c r="C60" s="8" t="s">
        <v>1218</v>
      </c>
      <c r="D60" s="1">
        <v>8093057085</v>
      </c>
      <c r="E60" s="11" t="s">
        <v>393</v>
      </c>
      <c r="F60" s="11" t="s">
        <v>181</v>
      </c>
      <c r="G60" s="11" t="s">
        <v>175</v>
      </c>
      <c r="H60" s="11" t="s">
        <v>176</v>
      </c>
      <c r="I60" s="8" t="s">
        <v>177</v>
      </c>
      <c r="J60" s="12" t="s">
        <v>455</v>
      </c>
      <c r="K60" t="b">
        <v>1</v>
      </c>
      <c r="L60" s="10">
        <v>44248</v>
      </c>
      <c r="M60"/>
    </row>
    <row r="61" spans="1:13" x14ac:dyDescent="0.2">
      <c r="A61">
        <v>0</v>
      </c>
      <c r="B61" s="12" t="s">
        <v>677</v>
      </c>
      <c r="C61" s="8" t="s">
        <v>1253</v>
      </c>
      <c r="D61" s="1">
        <v>8099978333</v>
      </c>
      <c r="E61" s="11" t="s">
        <v>182</v>
      </c>
      <c r="F61" s="11" t="s">
        <v>181</v>
      </c>
      <c r="G61" s="11" t="s">
        <v>175</v>
      </c>
      <c r="H61" s="11" t="s">
        <v>176</v>
      </c>
      <c r="I61" s="8" t="s">
        <v>177</v>
      </c>
      <c r="J61" s="12" t="s">
        <v>680</v>
      </c>
      <c r="K61" t="b">
        <v>1</v>
      </c>
      <c r="L61" s="10">
        <v>44358</v>
      </c>
      <c r="M61"/>
    </row>
    <row r="62" spans="1:13" x14ac:dyDescent="0.2">
      <c r="A62">
        <v>0</v>
      </c>
      <c r="B62" s="12" t="s">
        <v>252</v>
      </c>
      <c r="C62" s="8" t="s">
        <v>1185</v>
      </c>
      <c r="D62" s="1">
        <v>8094719702</v>
      </c>
      <c r="E62" s="11" t="s">
        <v>182</v>
      </c>
      <c r="F62" s="11" t="s">
        <v>181</v>
      </c>
      <c r="G62" s="11" t="s">
        <v>175</v>
      </c>
      <c r="H62" s="11" t="s">
        <v>176</v>
      </c>
      <c r="I62" s="8" t="s">
        <v>177</v>
      </c>
      <c r="J62" s="12" t="s">
        <v>255</v>
      </c>
      <c r="K62" t="b">
        <v>1</v>
      </c>
      <c r="L62" s="10">
        <v>44253</v>
      </c>
      <c r="M62"/>
    </row>
    <row r="63" spans="1:13" x14ac:dyDescent="0.2">
      <c r="A63">
        <v>0</v>
      </c>
      <c r="B63" s="12" t="s">
        <v>458</v>
      </c>
      <c r="C63" s="8" t="s">
        <v>1219</v>
      </c>
      <c r="D63" s="1">
        <v>8099939833</v>
      </c>
      <c r="E63" s="11" t="s">
        <v>393</v>
      </c>
      <c r="F63" s="11" t="s">
        <v>181</v>
      </c>
      <c r="G63" s="11" t="s">
        <v>160</v>
      </c>
      <c r="H63" s="11" t="s">
        <v>201</v>
      </c>
      <c r="I63" s="8" t="s">
        <v>160</v>
      </c>
      <c r="J63" s="12" t="s">
        <v>201</v>
      </c>
      <c r="K63" t="b">
        <v>1</v>
      </c>
      <c r="L63" s="10">
        <v>44253</v>
      </c>
      <c r="M63"/>
    </row>
    <row r="64" spans="1:13" x14ac:dyDescent="0.2">
      <c r="A64">
        <v>0</v>
      </c>
      <c r="B64" s="12" t="s">
        <v>1146</v>
      </c>
      <c r="C64" s="8" t="s">
        <v>2319</v>
      </c>
      <c r="D64" s="1">
        <v>8094414114</v>
      </c>
      <c r="E64" s="11" t="s">
        <v>182</v>
      </c>
      <c r="F64" s="11" t="s">
        <v>181</v>
      </c>
      <c r="G64" s="11" t="s">
        <v>175</v>
      </c>
      <c r="H64" s="11" t="s">
        <v>176</v>
      </c>
      <c r="I64" s="8" t="s">
        <v>177</v>
      </c>
      <c r="J64" s="12" t="s">
        <v>1149</v>
      </c>
      <c r="K64" t="b">
        <v>1</v>
      </c>
      <c r="L64" s="10">
        <v>44452</v>
      </c>
      <c r="M64"/>
    </row>
    <row r="65" spans="1:13" x14ac:dyDescent="0.2">
      <c r="A65">
        <v>0</v>
      </c>
      <c r="B65" s="12" t="s">
        <v>258</v>
      </c>
      <c r="C65" s="8" t="s">
        <v>1186</v>
      </c>
      <c r="D65" s="1">
        <v>8299799283</v>
      </c>
      <c r="E65" s="11" t="s">
        <v>182</v>
      </c>
      <c r="F65" s="11" t="s">
        <v>181</v>
      </c>
      <c r="G65" s="11" t="s">
        <v>175</v>
      </c>
      <c r="H65" s="11" t="s">
        <v>176</v>
      </c>
      <c r="I65" s="8" t="s">
        <v>177</v>
      </c>
      <c r="J65" s="12" t="s">
        <v>261</v>
      </c>
      <c r="K65" t="b">
        <v>1</v>
      </c>
      <c r="L65" s="10">
        <v>44253</v>
      </c>
      <c r="M65"/>
    </row>
    <row r="66" spans="1:13" x14ac:dyDescent="0.2">
      <c r="A66">
        <v>0</v>
      </c>
      <c r="B66" s="12" t="s">
        <v>2455</v>
      </c>
      <c r="C66" s="8" t="s">
        <v>2488</v>
      </c>
      <c r="D66" s="1">
        <v>8294055625</v>
      </c>
      <c r="E66" s="11" t="s">
        <v>182</v>
      </c>
      <c r="F66" s="11" t="s">
        <v>181</v>
      </c>
      <c r="G66" s="11" t="s">
        <v>175</v>
      </c>
      <c r="H66" s="11" t="s">
        <v>176</v>
      </c>
      <c r="I66" s="8" t="s">
        <v>177</v>
      </c>
      <c r="J66" s="12" t="s">
        <v>2458</v>
      </c>
      <c r="K66" t="b">
        <v>1</v>
      </c>
      <c r="L66" s="10">
        <v>44487</v>
      </c>
      <c r="M66"/>
    </row>
    <row r="67" spans="1:13" x14ac:dyDescent="0.2">
      <c r="A67">
        <v>0</v>
      </c>
      <c r="B67" s="12" t="s">
        <v>718</v>
      </c>
      <c r="C67" s="8" t="s">
        <v>1261</v>
      </c>
      <c r="D67" s="1">
        <v>8296451495</v>
      </c>
      <c r="E67" s="11" t="s">
        <v>393</v>
      </c>
      <c r="F67" s="11" t="s">
        <v>181</v>
      </c>
      <c r="G67" s="11" t="s">
        <v>175</v>
      </c>
      <c r="H67" s="11" t="s">
        <v>282</v>
      </c>
      <c r="I67" s="8" t="s">
        <v>162</v>
      </c>
      <c r="J67" s="12" t="s">
        <v>721</v>
      </c>
      <c r="K67" t="b">
        <v>1</v>
      </c>
      <c r="L67" s="10">
        <v>44358</v>
      </c>
      <c r="M67"/>
    </row>
    <row r="68" spans="1:13" x14ac:dyDescent="0.2">
      <c r="A68">
        <v>0</v>
      </c>
      <c r="B68" s="12" t="s">
        <v>540</v>
      </c>
      <c r="C68" s="8" t="s">
        <v>1233</v>
      </c>
      <c r="D68" s="1">
        <v>8296166727</v>
      </c>
      <c r="E68" s="11" t="s">
        <v>546</v>
      </c>
      <c r="F68" s="11" t="s">
        <v>181</v>
      </c>
      <c r="G68" s="11" t="s">
        <v>175</v>
      </c>
      <c r="H68" s="11" t="s">
        <v>176</v>
      </c>
      <c r="I68" s="8" t="s">
        <v>177</v>
      </c>
      <c r="J68" s="12" t="s">
        <v>543</v>
      </c>
      <c r="K68" t="b">
        <v>1</v>
      </c>
      <c r="L68" s="10">
        <v>44253</v>
      </c>
      <c r="M68"/>
    </row>
    <row r="69" spans="1:13" x14ac:dyDescent="0.2">
      <c r="A69">
        <v>0</v>
      </c>
      <c r="B69" s="12" t="s">
        <v>264</v>
      </c>
      <c r="C69" s="8" t="s">
        <v>1187</v>
      </c>
      <c r="D69" s="1">
        <v>8092596048</v>
      </c>
      <c r="E69" s="11" t="s">
        <v>182</v>
      </c>
      <c r="F69" s="11" t="s">
        <v>181</v>
      </c>
      <c r="G69" s="11" t="s">
        <v>175</v>
      </c>
      <c r="H69" s="11" t="s">
        <v>176</v>
      </c>
      <c r="I69" s="8" t="s">
        <v>177</v>
      </c>
      <c r="J69" s="12" t="s">
        <v>201</v>
      </c>
      <c r="K69" t="b">
        <v>1</v>
      </c>
      <c r="L69" s="10">
        <v>44253</v>
      </c>
      <c r="M69"/>
    </row>
    <row r="70" spans="1:13" x14ac:dyDescent="0.2">
      <c r="A70">
        <v>0</v>
      </c>
      <c r="B70" s="12" t="s">
        <v>761</v>
      </c>
      <c r="C70" s="8" t="s">
        <v>1268</v>
      </c>
      <c r="D70" s="1">
        <v>8097157046</v>
      </c>
      <c r="E70" s="11" t="s">
        <v>393</v>
      </c>
      <c r="F70" s="11" t="s">
        <v>181</v>
      </c>
      <c r="G70" s="11" t="s">
        <v>175</v>
      </c>
      <c r="H70" s="11" t="s">
        <v>176</v>
      </c>
      <c r="I70" s="8" t="s">
        <v>177</v>
      </c>
      <c r="J70" s="12" t="s">
        <v>764</v>
      </c>
      <c r="K70" t="b">
        <v>1</v>
      </c>
      <c r="L70" s="10">
        <v>44362</v>
      </c>
      <c r="M70"/>
    </row>
    <row r="71" spans="1:13" x14ac:dyDescent="0.2">
      <c r="A71">
        <v>0</v>
      </c>
      <c r="B71" s="12" t="s">
        <v>786</v>
      </c>
      <c r="C71" s="8" t="s">
        <v>1269</v>
      </c>
      <c r="D71" s="1">
        <v>8099534411</v>
      </c>
      <c r="E71" s="11" t="s">
        <v>393</v>
      </c>
      <c r="F71" s="11" t="s">
        <v>181</v>
      </c>
      <c r="G71" s="11" t="s">
        <v>175</v>
      </c>
      <c r="H71" s="11" t="s">
        <v>282</v>
      </c>
      <c r="I71" s="8" t="s">
        <v>177</v>
      </c>
      <c r="J71" s="12" t="s">
        <v>789</v>
      </c>
      <c r="K71" t="b">
        <v>1</v>
      </c>
      <c r="L71" s="10">
        <v>44337</v>
      </c>
      <c r="M71"/>
    </row>
    <row r="72" spans="1:13" x14ac:dyDescent="0.2">
      <c r="A72">
        <v>0</v>
      </c>
      <c r="B72" s="12" t="s">
        <v>960</v>
      </c>
      <c r="C72" s="8" t="s">
        <v>1299</v>
      </c>
      <c r="D72" s="1">
        <v>8098755168</v>
      </c>
      <c r="E72" s="11" t="s">
        <v>393</v>
      </c>
      <c r="F72" s="11" t="s">
        <v>181</v>
      </c>
      <c r="G72" s="11" t="s">
        <v>175</v>
      </c>
      <c r="H72" s="11" t="s">
        <v>161</v>
      </c>
      <c r="I72" s="8" t="s">
        <v>177</v>
      </c>
      <c r="J72" s="12" t="s">
        <v>963</v>
      </c>
      <c r="K72" t="b">
        <v>1</v>
      </c>
      <c r="L72" s="10">
        <v>44384</v>
      </c>
      <c r="M72"/>
    </row>
    <row r="73" spans="1:13" x14ac:dyDescent="0.2">
      <c r="A73">
        <v>0</v>
      </c>
      <c r="B73" s="12" t="s">
        <v>732</v>
      </c>
      <c r="C73" s="8" t="s">
        <v>1264</v>
      </c>
      <c r="D73" s="1">
        <v>8094217381</v>
      </c>
      <c r="E73" s="11" t="s">
        <v>393</v>
      </c>
      <c r="F73" s="11" t="s">
        <v>181</v>
      </c>
      <c r="G73" s="11" t="s">
        <v>175</v>
      </c>
      <c r="H73" s="11" t="s">
        <v>161</v>
      </c>
      <c r="I73" s="8" t="s">
        <v>177</v>
      </c>
      <c r="J73" s="12" t="s">
        <v>710</v>
      </c>
      <c r="K73" t="b">
        <v>1</v>
      </c>
      <c r="L73" s="10">
        <v>44361</v>
      </c>
      <c r="M73"/>
    </row>
    <row r="74" spans="1:13" x14ac:dyDescent="0.2">
      <c r="A74">
        <v>0</v>
      </c>
      <c r="B74" s="12" t="s">
        <v>707</v>
      </c>
      <c r="C74" s="8" t="s">
        <v>1259</v>
      </c>
      <c r="D74" s="1">
        <v>8094217381</v>
      </c>
      <c r="E74" s="11" t="s">
        <v>393</v>
      </c>
      <c r="F74" s="11" t="s">
        <v>181</v>
      </c>
      <c r="G74" s="11" t="s">
        <v>175</v>
      </c>
      <c r="H74" s="11" t="s">
        <v>161</v>
      </c>
      <c r="I74" s="8" t="s">
        <v>177</v>
      </c>
      <c r="J74" s="12" t="s">
        <v>710</v>
      </c>
      <c r="K74" t="b">
        <v>1</v>
      </c>
      <c r="L74" s="10">
        <v>44359</v>
      </c>
      <c r="M74"/>
    </row>
    <row r="75" spans="1:13" x14ac:dyDescent="0.2">
      <c r="A75">
        <v>0</v>
      </c>
      <c r="B75" s="12" t="s">
        <v>463</v>
      </c>
      <c r="C75" s="8" t="s">
        <v>1220</v>
      </c>
      <c r="D75" s="1">
        <v>8292033822</v>
      </c>
      <c r="E75" s="11" t="s">
        <v>393</v>
      </c>
      <c r="F75" s="11" t="s">
        <v>181</v>
      </c>
      <c r="G75" s="11" t="s">
        <v>160</v>
      </c>
      <c r="H75" s="11" t="s">
        <v>201</v>
      </c>
      <c r="I75" s="8" t="s">
        <v>160</v>
      </c>
      <c r="J75" s="12" t="s">
        <v>201</v>
      </c>
      <c r="K75" t="b">
        <v>1</v>
      </c>
      <c r="L75" s="10">
        <v>44253</v>
      </c>
      <c r="M75"/>
    </row>
    <row r="76" spans="1:13" x14ac:dyDescent="0.2">
      <c r="A76">
        <v>0</v>
      </c>
      <c r="B76" s="12" t="s">
        <v>1078</v>
      </c>
      <c r="C76" s="8" t="s">
        <v>1320</v>
      </c>
      <c r="D76" s="1">
        <v>8494043005</v>
      </c>
      <c r="E76" s="11" t="s">
        <v>393</v>
      </c>
      <c r="F76" s="11" t="s">
        <v>181</v>
      </c>
      <c r="G76" s="11" t="s">
        <v>175</v>
      </c>
      <c r="H76" s="11" t="s">
        <v>176</v>
      </c>
      <c r="I76" s="8" t="s">
        <v>177</v>
      </c>
      <c r="J76" s="12" t="s">
        <v>1081</v>
      </c>
      <c r="K76" t="b">
        <v>1</v>
      </c>
      <c r="L76" s="10">
        <v>44431</v>
      </c>
      <c r="M76"/>
    </row>
    <row r="77" spans="1:13" x14ac:dyDescent="0.2">
      <c r="A77">
        <v>0</v>
      </c>
      <c r="B77" s="12" t="s">
        <v>269</v>
      </c>
      <c r="C77" s="8" t="s">
        <v>1188</v>
      </c>
      <c r="D77" s="1">
        <v>8295876352</v>
      </c>
      <c r="E77" s="11" t="s">
        <v>182</v>
      </c>
      <c r="F77" s="11" t="s">
        <v>181</v>
      </c>
      <c r="G77" s="11" t="s">
        <v>160</v>
      </c>
      <c r="H77" s="11" t="s">
        <v>201</v>
      </c>
      <c r="I77" s="8" t="s">
        <v>160</v>
      </c>
      <c r="J77" s="12" t="s">
        <v>201</v>
      </c>
      <c r="K77" t="b">
        <v>1</v>
      </c>
      <c r="L77" s="10">
        <v>44253</v>
      </c>
      <c r="M77"/>
    </row>
    <row r="78" spans="1:13" x14ac:dyDescent="0.2">
      <c r="A78">
        <v>0</v>
      </c>
      <c r="B78" s="12" t="s">
        <v>938</v>
      </c>
      <c r="C78" s="8" t="s">
        <v>2320</v>
      </c>
      <c r="D78" s="1">
        <v>8099150592</v>
      </c>
      <c r="E78" s="11" t="s">
        <v>182</v>
      </c>
      <c r="F78" s="11" t="s">
        <v>181</v>
      </c>
      <c r="G78" s="11" t="s">
        <v>175</v>
      </c>
      <c r="H78" s="11" t="s">
        <v>176</v>
      </c>
      <c r="I78" s="8" t="s">
        <v>177</v>
      </c>
      <c r="J78" s="12" t="s">
        <v>941</v>
      </c>
      <c r="K78" t="b">
        <v>1</v>
      </c>
      <c r="L78" s="10">
        <v>44386</v>
      </c>
      <c r="M78"/>
    </row>
    <row r="79" spans="1:13" x14ac:dyDescent="0.2">
      <c r="A79">
        <v>0</v>
      </c>
      <c r="B79" s="12" t="s">
        <v>1167</v>
      </c>
      <c r="C79" s="8" t="s">
        <v>1339</v>
      </c>
      <c r="D79" s="1">
        <v>8292219950</v>
      </c>
      <c r="E79" s="11" t="s">
        <v>182</v>
      </c>
      <c r="F79" s="11" t="s">
        <v>181</v>
      </c>
      <c r="G79" s="11" t="s">
        <v>175</v>
      </c>
      <c r="H79" s="11" t="s">
        <v>176</v>
      </c>
      <c r="I79" s="8" t="s">
        <v>177</v>
      </c>
      <c r="J79" s="12" t="s">
        <v>1170</v>
      </c>
      <c r="K79" t="b">
        <v>1</v>
      </c>
      <c r="L79" s="10">
        <v>44452</v>
      </c>
      <c r="M79"/>
    </row>
    <row r="80" spans="1:13" x14ac:dyDescent="0.2">
      <c r="A80">
        <v>0</v>
      </c>
      <c r="B80" s="12" t="s">
        <v>816</v>
      </c>
      <c r="C80" s="8" t="s">
        <v>1275</v>
      </c>
      <c r="D80" s="1">
        <v>8293486081</v>
      </c>
      <c r="E80" s="11" t="s">
        <v>393</v>
      </c>
      <c r="F80" s="11" t="s">
        <v>181</v>
      </c>
      <c r="G80" s="11" t="s">
        <v>175</v>
      </c>
      <c r="H80" s="11" t="s">
        <v>176</v>
      </c>
      <c r="I80" s="8" t="s">
        <v>177</v>
      </c>
      <c r="J80" s="12" t="s">
        <v>819</v>
      </c>
      <c r="K80" t="b">
        <v>1</v>
      </c>
      <c r="L80" s="10">
        <v>44368</v>
      </c>
      <c r="M80"/>
    </row>
    <row r="81" spans="1:13" x14ac:dyDescent="0.2">
      <c r="A81">
        <v>0</v>
      </c>
      <c r="B81" s="12" t="s">
        <v>800</v>
      </c>
      <c r="C81" s="8" t="s">
        <v>1272</v>
      </c>
      <c r="D81" s="1">
        <v>8099894273</v>
      </c>
      <c r="E81" s="11" t="s">
        <v>182</v>
      </c>
      <c r="F81" s="11" t="s">
        <v>181</v>
      </c>
      <c r="G81" s="11" t="s">
        <v>175</v>
      </c>
      <c r="H81" s="11" t="s">
        <v>176</v>
      </c>
      <c r="I81" s="8" t="s">
        <v>177</v>
      </c>
      <c r="J81" s="12" t="s">
        <v>802</v>
      </c>
      <c r="K81" t="b">
        <v>1</v>
      </c>
      <c r="L81" s="10">
        <v>44317</v>
      </c>
      <c r="M81"/>
    </row>
    <row r="82" spans="1:13" x14ac:dyDescent="0.2">
      <c r="A82">
        <v>0</v>
      </c>
      <c r="B82" s="12" t="s">
        <v>1038</v>
      </c>
      <c r="C82" s="8" t="s">
        <v>1312</v>
      </c>
      <c r="D82" s="1">
        <v>8094804337</v>
      </c>
      <c r="E82" s="11" t="s">
        <v>393</v>
      </c>
      <c r="F82" s="11" t="s">
        <v>181</v>
      </c>
      <c r="G82" s="11" t="s">
        <v>175</v>
      </c>
      <c r="H82" s="11" t="s">
        <v>176</v>
      </c>
      <c r="I82" s="8" t="s">
        <v>177</v>
      </c>
      <c r="J82" s="12" t="s">
        <v>1041</v>
      </c>
      <c r="K82" t="b">
        <v>1</v>
      </c>
      <c r="L82" s="10">
        <v>44412</v>
      </c>
      <c r="M82"/>
    </row>
    <row r="83" spans="1:13" x14ac:dyDescent="0.2">
      <c r="A83">
        <v>0</v>
      </c>
      <c r="B83" s="12" t="s">
        <v>847</v>
      </c>
      <c r="C83" s="8" t="s">
        <v>1279</v>
      </c>
      <c r="D83" s="1">
        <v>8099069358</v>
      </c>
      <c r="E83" s="11" t="s">
        <v>393</v>
      </c>
      <c r="F83" s="11" t="s">
        <v>181</v>
      </c>
      <c r="G83" s="11" t="s">
        <v>175</v>
      </c>
      <c r="H83" s="11" t="s">
        <v>282</v>
      </c>
      <c r="I83" s="8" t="s">
        <v>177</v>
      </c>
      <c r="J83" s="12" t="s">
        <v>850</v>
      </c>
      <c r="K83" t="b">
        <v>1</v>
      </c>
      <c r="L83" s="10">
        <v>44376</v>
      </c>
      <c r="M83"/>
    </row>
    <row r="84" spans="1:13" x14ac:dyDescent="0.2">
      <c r="A84">
        <v>0</v>
      </c>
      <c r="B84" s="12" t="s">
        <v>712</v>
      </c>
      <c r="C84" s="8" t="s">
        <v>1260</v>
      </c>
      <c r="D84" s="1">
        <v>8092301362</v>
      </c>
      <c r="E84" s="11" t="s">
        <v>393</v>
      </c>
      <c r="F84" s="11" t="s">
        <v>181</v>
      </c>
      <c r="G84" s="11" t="s">
        <v>175</v>
      </c>
      <c r="H84" s="11" t="s">
        <v>176</v>
      </c>
      <c r="I84" s="8" t="s">
        <v>177</v>
      </c>
      <c r="J84" s="12" t="s">
        <v>715</v>
      </c>
      <c r="K84" t="b">
        <v>1</v>
      </c>
      <c r="L84" s="10">
        <v>44358</v>
      </c>
      <c r="M84"/>
    </row>
    <row r="85" spans="1:13" x14ac:dyDescent="0.2">
      <c r="A85">
        <v>0</v>
      </c>
      <c r="B85" s="12" t="s">
        <v>273</v>
      </c>
      <c r="C85" s="8" t="s">
        <v>1189</v>
      </c>
      <c r="D85" s="1">
        <v>8098682293</v>
      </c>
      <c r="E85" s="11" t="s">
        <v>182</v>
      </c>
      <c r="F85" s="11" t="s">
        <v>181</v>
      </c>
      <c r="G85" s="11" t="s">
        <v>175</v>
      </c>
      <c r="H85" s="11" t="s">
        <v>176</v>
      </c>
      <c r="I85" s="8" t="s">
        <v>177</v>
      </c>
      <c r="J85" s="12" t="s">
        <v>276</v>
      </c>
      <c r="K85" t="b">
        <v>1</v>
      </c>
      <c r="L85" s="10">
        <v>44253</v>
      </c>
      <c r="M85"/>
    </row>
    <row r="86" spans="1:13" x14ac:dyDescent="0.2">
      <c r="A86">
        <v>0</v>
      </c>
      <c r="B86" s="12" t="s">
        <v>806</v>
      </c>
      <c r="C86" s="8" t="s">
        <v>1274</v>
      </c>
      <c r="D86" s="1">
        <v>8099183213</v>
      </c>
      <c r="E86" s="11" t="s">
        <v>393</v>
      </c>
      <c r="F86" s="11" t="s">
        <v>181</v>
      </c>
      <c r="G86" s="11" t="s">
        <v>175</v>
      </c>
      <c r="H86" s="11" t="s">
        <v>176</v>
      </c>
      <c r="I86" s="8" t="s">
        <v>177</v>
      </c>
      <c r="J86" s="12" t="s">
        <v>809</v>
      </c>
      <c r="K86" t="b">
        <v>1</v>
      </c>
      <c r="L86" s="10">
        <v>44348</v>
      </c>
      <c r="M86"/>
    </row>
    <row r="87" spans="1:13" x14ac:dyDescent="0.2">
      <c r="A87">
        <v>0</v>
      </c>
      <c r="B87" s="12" t="s">
        <v>566</v>
      </c>
      <c r="C87" s="8" t="s">
        <v>1236</v>
      </c>
      <c r="D87" s="1">
        <v>8098299863</v>
      </c>
      <c r="E87" s="11" t="s">
        <v>182</v>
      </c>
      <c r="F87" s="11" t="s">
        <v>181</v>
      </c>
      <c r="G87" s="11" t="s">
        <v>160</v>
      </c>
      <c r="H87" s="11" t="s">
        <v>201</v>
      </c>
      <c r="I87" s="8" t="s">
        <v>160</v>
      </c>
      <c r="K87" t="b">
        <v>1</v>
      </c>
      <c r="L87" s="10">
        <v>44358</v>
      </c>
      <c r="M87"/>
    </row>
    <row r="88" spans="1:13" x14ac:dyDescent="0.2">
      <c r="A88">
        <v>0</v>
      </c>
      <c r="B88" s="12" t="s">
        <v>640</v>
      </c>
      <c r="C88" s="8" t="s">
        <v>1245</v>
      </c>
      <c r="D88" s="1">
        <v>8296027392</v>
      </c>
      <c r="E88" s="11" t="s">
        <v>393</v>
      </c>
      <c r="F88" s="11" t="s">
        <v>181</v>
      </c>
      <c r="G88" s="11" t="s">
        <v>175</v>
      </c>
      <c r="H88" s="11" t="s">
        <v>176</v>
      </c>
      <c r="I88" s="8" t="s">
        <v>177</v>
      </c>
      <c r="J88" s="12" t="s">
        <v>643</v>
      </c>
      <c r="K88" t="b">
        <v>1</v>
      </c>
      <c r="L88" s="10">
        <v>44383</v>
      </c>
      <c r="M88"/>
    </row>
    <row r="89" spans="1:13" x14ac:dyDescent="0.2">
      <c r="A89">
        <v>0</v>
      </c>
      <c r="B89" s="12" t="s">
        <v>2340</v>
      </c>
      <c r="C89" s="8" t="s">
        <v>2378</v>
      </c>
      <c r="D89" s="1">
        <v>8496381882</v>
      </c>
      <c r="E89" s="11" t="s">
        <v>393</v>
      </c>
      <c r="F89" s="11" t="s">
        <v>181</v>
      </c>
      <c r="G89" s="11" t="s">
        <v>175</v>
      </c>
      <c r="H89" s="11" t="s">
        <v>176</v>
      </c>
      <c r="I89" s="8" t="s">
        <v>177</v>
      </c>
      <c r="J89" s="12" t="s">
        <v>2342</v>
      </c>
      <c r="K89" t="b">
        <v>1</v>
      </c>
      <c r="L89" s="10">
        <v>44460</v>
      </c>
      <c r="M89"/>
    </row>
    <row r="90" spans="1:13" x14ac:dyDescent="0.2">
      <c r="A90">
        <v>0</v>
      </c>
      <c r="B90" s="12" t="s">
        <v>920</v>
      </c>
      <c r="C90" s="8" t="s">
        <v>1292</v>
      </c>
      <c r="D90" s="1">
        <v>8297252363</v>
      </c>
      <c r="E90" s="11" t="s">
        <v>393</v>
      </c>
      <c r="F90" s="11" t="s">
        <v>181</v>
      </c>
      <c r="G90" s="11" t="s">
        <v>160</v>
      </c>
      <c r="H90" s="11" t="s">
        <v>201</v>
      </c>
      <c r="I90" s="8" t="s">
        <v>160</v>
      </c>
      <c r="K90" t="b">
        <v>1</v>
      </c>
      <c r="L90" s="10">
        <v>44386</v>
      </c>
      <c r="M90"/>
    </row>
    <row r="91" spans="1:13" x14ac:dyDescent="0.2">
      <c r="A91">
        <v>0</v>
      </c>
      <c r="B91" s="12" t="s">
        <v>1124</v>
      </c>
      <c r="C91" s="8" t="s">
        <v>1331</v>
      </c>
      <c r="D91" s="1">
        <v>8293879965</v>
      </c>
      <c r="E91" s="11" t="s">
        <v>393</v>
      </c>
      <c r="F91" s="11" t="s">
        <v>181</v>
      </c>
      <c r="G91" s="11" t="s">
        <v>175</v>
      </c>
      <c r="H91" s="11" t="s">
        <v>176</v>
      </c>
      <c r="I91" s="8" t="s">
        <v>177</v>
      </c>
      <c r="J91" s="12" t="s">
        <v>1127</v>
      </c>
      <c r="K91" t="b">
        <v>1</v>
      </c>
      <c r="L91" s="10">
        <v>44445</v>
      </c>
      <c r="M91"/>
    </row>
    <row r="92" spans="1:13" x14ac:dyDescent="0.2">
      <c r="A92">
        <v>0</v>
      </c>
      <c r="B92" s="12" t="s">
        <v>584</v>
      </c>
      <c r="C92" s="8" t="s">
        <v>1238</v>
      </c>
      <c r="D92" s="1">
        <v>8096606250</v>
      </c>
      <c r="E92" s="11" t="s">
        <v>393</v>
      </c>
      <c r="F92" s="11" t="s">
        <v>181</v>
      </c>
      <c r="G92" s="11" t="s">
        <v>160</v>
      </c>
      <c r="H92" s="11" t="s">
        <v>201</v>
      </c>
      <c r="I92" s="8" t="s">
        <v>160</v>
      </c>
      <c r="J92" s="12" t="s">
        <v>587</v>
      </c>
      <c r="K92" t="b">
        <v>1</v>
      </c>
      <c r="L92" s="10">
        <v>44432</v>
      </c>
      <c r="M92"/>
    </row>
    <row r="93" spans="1:13" x14ac:dyDescent="0.2">
      <c r="A93">
        <v>0</v>
      </c>
      <c r="B93" s="12" t="s">
        <v>468</v>
      </c>
      <c r="C93" s="8" t="s">
        <v>1221</v>
      </c>
      <c r="D93" s="1">
        <v>8099195452</v>
      </c>
      <c r="E93" s="11" t="s">
        <v>393</v>
      </c>
      <c r="F93" s="11" t="s">
        <v>181</v>
      </c>
      <c r="G93" s="11" t="s">
        <v>175</v>
      </c>
      <c r="H93" s="11" t="s">
        <v>176</v>
      </c>
      <c r="I93" s="8" t="s">
        <v>177</v>
      </c>
      <c r="J93" s="12" t="s">
        <v>470</v>
      </c>
      <c r="K93" t="b">
        <v>1</v>
      </c>
      <c r="L93" s="10">
        <v>44253</v>
      </c>
      <c r="M93"/>
    </row>
    <row r="94" spans="1:13" x14ac:dyDescent="0.2">
      <c r="A94">
        <v>0</v>
      </c>
      <c r="B94" s="12" t="s">
        <v>473</v>
      </c>
      <c r="C94" s="8" t="s">
        <v>1222</v>
      </c>
      <c r="D94" s="1">
        <v>8492705039</v>
      </c>
      <c r="E94" s="11" t="s">
        <v>393</v>
      </c>
      <c r="F94" s="11" t="s">
        <v>181</v>
      </c>
      <c r="G94" s="11" t="s">
        <v>160</v>
      </c>
      <c r="H94" s="11" t="s">
        <v>201</v>
      </c>
      <c r="I94" s="8" t="s">
        <v>160</v>
      </c>
      <c r="J94" s="12" t="s">
        <v>201</v>
      </c>
      <c r="K94" t="b">
        <v>1</v>
      </c>
      <c r="L94" s="10">
        <v>44253</v>
      </c>
      <c r="M94"/>
    </row>
    <row r="95" spans="1:13" x14ac:dyDescent="0.2">
      <c r="A95">
        <v>0</v>
      </c>
      <c r="B95" s="12" t="s">
        <v>1064</v>
      </c>
      <c r="C95" s="8" t="s">
        <v>1317</v>
      </c>
      <c r="D95" s="1">
        <v>8093704653</v>
      </c>
      <c r="E95" s="11" t="s">
        <v>393</v>
      </c>
      <c r="F95" s="11" t="s">
        <v>181</v>
      </c>
      <c r="G95" s="11" t="s">
        <v>175</v>
      </c>
      <c r="H95" s="11" t="s">
        <v>176</v>
      </c>
      <c r="I95" s="8" t="s">
        <v>177</v>
      </c>
      <c r="J95" s="12" t="s">
        <v>1067</v>
      </c>
      <c r="K95" t="b">
        <v>1</v>
      </c>
      <c r="L95" s="10">
        <v>44428</v>
      </c>
      <c r="M95"/>
    </row>
    <row r="96" spans="1:13" x14ac:dyDescent="0.2">
      <c r="A96">
        <v>0</v>
      </c>
      <c r="B96" s="12" t="s">
        <v>594</v>
      </c>
      <c r="C96" s="8" t="s">
        <v>1240</v>
      </c>
      <c r="D96" s="1">
        <v>8294508977</v>
      </c>
      <c r="E96" s="11" t="s">
        <v>182</v>
      </c>
      <c r="F96" s="11" t="s">
        <v>181</v>
      </c>
      <c r="G96" s="11" t="s">
        <v>160</v>
      </c>
      <c r="H96" s="11" t="s">
        <v>201</v>
      </c>
      <c r="I96" s="8" t="s">
        <v>160</v>
      </c>
      <c r="K96" t="b">
        <v>1</v>
      </c>
      <c r="L96" s="10">
        <v>44358</v>
      </c>
      <c r="M96"/>
    </row>
    <row r="97" spans="1:13" x14ac:dyDescent="0.2">
      <c r="A97">
        <v>0</v>
      </c>
      <c r="B97" s="12" t="s">
        <v>2348</v>
      </c>
      <c r="C97" s="8" t="s">
        <v>2379</v>
      </c>
      <c r="D97" s="1">
        <v>8098188784</v>
      </c>
      <c r="E97" s="11" t="s">
        <v>393</v>
      </c>
      <c r="F97" s="11" t="s">
        <v>181</v>
      </c>
      <c r="G97" s="11" t="s">
        <v>175</v>
      </c>
      <c r="H97" s="11" t="s">
        <v>176</v>
      </c>
      <c r="I97" s="8" t="s">
        <v>177</v>
      </c>
      <c r="J97" s="12" t="s">
        <v>2351</v>
      </c>
      <c r="K97" t="b">
        <v>1</v>
      </c>
      <c r="L97" s="10">
        <v>44466</v>
      </c>
      <c r="M97"/>
    </row>
    <row r="98" spans="1:13" x14ac:dyDescent="0.2">
      <c r="A98">
        <v>0</v>
      </c>
      <c r="B98" s="12" t="s">
        <v>478</v>
      </c>
      <c r="C98" s="8" t="s">
        <v>1223</v>
      </c>
      <c r="D98" s="1">
        <v>8095659989</v>
      </c>
      <c r="E98" s="11" t="s">
        <v>393</v>
      </c>
      <c r="F98" s="11" t="s">
        <v>181</v>
      </c>
      <c r="G98" s="11" t="s">
        <v>175</v>
      </c>
      <c r="H98" s="11" t="s">
        <v>176</v>
      </c>
      <c r="I98" s="8" t="s">
        <v>177</v>
      </c>
      <c r="J98" s="12" t="s">
        <v>480</v>
      </c>
      <c r="K98" t="b">
        <v>1</v>
      </c>
      <c r="L98" s="10">
        <v>44253</v>
      </c>
      <c r="M98"/>
    </row>
    <row r="99" spans="1:13" x14ac:dyDescent="0.2">
      <c r="A99">
        <v>0</v>
      </c>
      <c r="B99" s="12" t="s">
        <v>2357</v>
      </c>
      <c r="C99" s="8" t="s">
        <v>2380</v>
      </c>
      <c r="D99" s="1">
        <v>8297300237</v>
      </c>
      <c r="E99" s="11" t="s">
        <v>182</v>
      </c>
      <c r="F99" s="11" t="s">
        <v>181</v>
      </c>
      <c r="G99" s="11" t="s">
        <v>175</v>
      </c>
      <c r="H99" s="11" t="s">
        <v>243</v>
      </c>
      <c r="I99" s="8" t="s">
        <v>177</v>
      </c>
      <c r="J99" s="12" t="s">
        <v>2385</v>
      </c>
      <c r="K99" t="b">
        <v>1</v>
      </c>
      <c r="L99" s="10">
        <v>44459</v>
      </c>
      <c r="M99"/>
    </row>
    <row r="100" spans="1:13" x14ac:dyDescent="0.2">
      <c r="A100">
        <v>0</v>
      </c>
      <c r="B100" s="12" t="s">
        <v>279</v>
      </c>
      <c r="C100" s="8" t="s">
        <v>1190</v>
      </c>
      <c r="D100" s="1">
        <v>8092322449</v>
      </c>
      <c r="E100" s="11" t="s">
        <v>182</v>
      </c>
      <c r="F100" s="11" t="s">
        <v>181</v>
      </c>
      <c r="G100" s="11" t="s">
        <v>175</v>
      </c>
      <c r="H100" s="11" t="s">
        <v>282</v>
      </c>
      <c r="I100" s="8" t="s">
        <v>177</v>
      </c>
      <c r="J100" s="12" t="s">
        <v>283</v>
      </c>
      <c r="K100" t="b">
        <v>1</v>
      </c>
      <c r="L100" s="10">
        <v>44253</v>
      </c>
      <c r="M100"/>
    </row>
    <row r="101" spans="1:13" x14ac:dyDescent="0.2">
      <c r="A101">
        <v>0</v>
      </c>
      <c r="B101" s="12" t="s">
        <v>797</v>
      </c>
      <c r="C101" s="8" t="s">
        <v>1271</v>
      </c>
      <c r="D101" s="1">
        <v>8497505535</v>
      </c>
      <c r="E101" s="11" t="s">
        <v>393</v>
      </c>
      <c r="F101" s="11" t="s">
        <v>181</v>
      </c>
      <c r="G101" s="11" t="s">
        <v>175</v>
      </c>
      <c r="H101" s="11" t="s">
        <v>176</v>
      </c>
      <c r="I101" s="8" t="s">
        <v>177</v>
      </c>
      <c r="J101" s="12" t="s">
        <v>798</v>
      </c>
      <c r="K101" t="b">
        <v>1</v>
      </c>
      <c r="L101" s="10">
        <v>44361</v>
      </c>
      <c r="M101"/>
    </row>
    <row r="102" spans="1:13" x14ac:dyDescent="0.2">
      <c r="A102">
        <v>0</v>
      </c>
      <c r="B102" s="12" t="s">
        <v>858</v>
      </c>
      <c r="C102" s="8" t="s">
        <v>1281</v>
      </c>
      <c r="D102" s="1">
        <v>8299459851</v>
      </c>
      <c r="E102" s="11" t="s">
        <v>182</v>
      </c>
      <c r="F102" s="11" t="s">
        <v>181</v>
      </c>
      <c r="G102" s="11" t="s">
        <v>175</v>
      </c>
      <c r="H102" s="11" t="s">
        <v>176</v>
      </c>
      <c r="I102" s="8" t="s">
        <v>177</v>
      </c>
      <c r="J102" s="12" t="s">
        <v>2338</v>
      </c>
      <c r="K102" t="b">
        <v>1</v>
      </c>
      <c r="L102" s="10">
        <v>44377</v>
      </c>
      <c r="M102"/>
    </row>
    <row r="103" spans="1:13" x14ac:dyDescent="0.2">
      <c r="A103">
        <v>0</v>
      </c>
      <c r="B103" s="12" t="s">
        <v>2353</v>
      </c>
      <c r="C103" s="8" t="s">
        <v>2381</v>
      </c>
      <c r="D103" s="1">
        <v>8492876348</v>
      </c>
      <c r="E103" s="11" t="s">
        <v>182</v>
      </c>
      <c r="F103" s="11" t="s">
        <v>181</v>
      </c>
      <c r="G103" s="11" t="s">
        <v>160</v>
      </c>
      <c r="H103" s="11" t="s">
        <v>201</v>
      </c>
      <c r="I103" s="8" t="s">
        <v>160</v>
      </c>
      <c r="K103" t="b">
        <v>1</v>
      </c>
      <c r="L103" s="10">
        <v>44470</v>
      </c>
      <c r="M103"/>
    </row>
    <row r="104" spans="1:13" x14ac:dyDescent="0.2">
      <c r="A104">
        <v>0</v>
      </c>
      <c r="B104" s="12" t="s">
        <v>572</v>
      </c>
      <c r="C104" s="8" t="s">
        <v>2321</v>
      </c>
      <c r="D104" s="1">
        <v>8093063434</v>
      </c>
      <c r="E104" s="11" t="s">
        <v>393</v>
      </c>
      <c r="F104" s="11" t="s">
        <v>181</v>
      </c>
      <c r="G104" s="11" t="s">
        <v>175</v>
      </c>
      <c r="H104" s="11" t="s">
        <v>176</v>
      </c>
      <c r="I104" s="8" t="s">
        <v>177</v>
      </c>
      <c r="J104" s="12" t="s">
        <v>575</v>
      </c>
      <c r="K104" t="b">
        <v>1</v>
      </c>
      <c r="L104" s="10">
        <v>44331</v>
      </c>
      <c r="M104"/>
    </row>
    <row r="105" spans="1:13" x14ac:dyDescent="0.2">
      <c r="A105">
        <v>0</v>
      </c>
      <c r="B105" s="12" t="s">
        <v>1100</v>
      </c>
      <c r="C105" s="8" t="s">
        <v>1325</v>
      </c>
      <c r="D105" s="1">
        <v>8498151930</v>
      </c>
      <c r="E105" s="11" t="s">
        <v>182</v>
      </c>
      <c r="F105" s="11" t="s">
        <v>181</v>
      </c>
      <c r="G105" s="11" t="s">
        <v>175</v>
      </c>
      <c r="H105" s="11" t="s">
        <v>176</v>
      </c>
      <c r="I105" s="8" t="s">
        <v>162</v>
      </c>
      <c r="J105" s="12" t="s">
        <v>1102</v>
      </c>
      <c r="K105" t="b">
        <v>1</v>
      </c>
      <c r="L105" s="10">
        <v>44439</v>
      </c>
      <c r="M105"/>
    </row>
    <row r="106" spans="1:13" x14ac:dyDescent="0.2">
      <c r="A106">
        <v>0</v>
      </c>
      <c r="B106" s="12" t="s">
        <v>483</v>
      </c>
      <c r="C106" s="8" t="s">
        <v>1224</v>
      </c>
      <c r="D106" s="1">
        <v>8299440810</v>
      </c>
      <c r="E106" s="11" t="s">
        <v>393</v>
      </c>
      <c r="F106" s="11" t="s">
        <v>181</v>
      </c>
      <c r="G106" s="11" t="s">
        <v>160</v>
      </c>
      <c r="H106" s="11" t="s">
        <v>201</v>
      </c>
      <c r="I106" s="8" t="s">
        <v>160</v>
      </c>
      <c r="J106" s="12" t="s">
        <v>201</v>
      </c>
      <c r="K106" t="b">
        <v>1</v>
      </c>
      <c r="L106" s="10">
        <v>44253</v>
      </c>
      <c r="M106"/>
    </row>
    <row r="107" spans="1:13" x14ac:dyDescent="0.2">
      <c r="A107">
        <v>0</v>
      </c>
      <c r="B107" s="12" t="s">
        <v>943</v>
      </c>
      <c r="C107" s="8" t="s">
        <v>1295</v>
      </c>
      <c r="D107" s="1">
        <v>8297439779</v>
      </c>
      <c r="E107" s="11" t="s">
        <v>393</v>
      </c>
      <c r="F107" s="11" t="s">
        <v>181</v>
      </c>
      <c r="G107" s="11" t="s">
        <v>175</v>
      </c>
      <c r="H107" s="11" t="s">
        <v>176</v>
      </c>
      <c r="I107" s="8" t="s">
        <v>177</v>
      </c>
      <c r="J107" s="12" t="s">
        <v>945</v>
      </c>
      <c r="K107" t="b">
        <v>1</v>
      </c>
      <c r="L107" s="10">
        <v>44392</v>
      </c>
      <c r="M107"/>
    </row>
    <row r="108" spans="1:13" x14ac:dyDescent="0.2">
      <c r="A108">
        <v>0</v>
      </c>
      <c r="B108" s="12" t="s">
        <v>1151</v>
      </c>
      <c r="C108" s="8" t="s">
        <v>1336</v>
      </c>
      <c r="D108" s="1">
        <v>8297190999</v>
      </c>
      <c r="E108" s="11" t="s">
        <v>182</v>
      </c>
      <c r="F108" s="11" t="s">
        <v>181</v>
      </c>
      <c r="G108" s="11" t="s">
        <v>175</v>
      </c>
      <c r="H108" s="11" t="s">
        <v>176</v>
      </c>
      <c r="I108" s="8" t="s">
        <v>177</v>
      </c>
      <c r="J108" s="12" t="s">
        <v>1154</v>
      </c>
      <c r="K108" t="b">
        <v>1</v>
      </c>
      <c r="L108" s="10">
        <v>44447</v>
      </c>
      <c r="M108"/>
    </row>
    <row r="109" spans="1:13" x14ac:dyDescent="0.2">
      <c r="A109">
        <v>0</v>
      </c>
      <c r="B109" s="12" t="s">
        <v>286</v>
      </c>
      <c r="C109" s="8" t="s">
        <v>1191</v>
      </c>
      <c r="D109" s="1">
        <v>8293050811</v>
      </c>
      <c r="E109" s="11" t="s">
        <v>182</v>
      </c>
      <c r="F109" s="11" t="s">
        <v>181</v>
      </c>
      <c r="G109" s="11" t="s">
        <v>160</v>
      </c>
      <c r="H109" s="11" t="s">
        <v>201</v>
      </c>
      <c r="I109" s="8" t="s">
        <v>160</v>
      </c>
      <c r="J109" s="12" t="s">
        <v>201</v>
      </c>
      <c r="K109" t="b">
        <v>1</v>
      </c>
      <c r="L109" s="10">
        <v>44253</v>
      </c>
      <c r="M109"/>
    </row>
    <row r="110" spans="1:13" x14ac:dyDescent="0.2">
      <c r="A110">
        <v>0</v>
      </c>
      <c r="B110" s="12" t="s">
        <v>291</v>
      </c>
      <c r="C110" s="8" t="s">
        <v>1192</v>
      </c>
      <c r="D110" s="1">
        <v>8299691247</v>
      </c>
      <c r="E110" s="11" t="s">
        <v>182</v>
      </c>
      <c r="F110" s="11" t="s">
        <v>181</v>
      </c>
      <c r="G110" s="11" t="s">
        <v>160</v>
      </c>
      <c r="H110" s="11" t="s">
        <v>201</v>
      </c>
      <c r="I110" s="8" t="s">
        <v>160</v>
      </c>
      <c r="J110" s="12" t="s">
        <v>201</v>
      </c>
      <c r="K110" t="b">
        <v>1</v>
      </c>
      <c r="L110" s="10">
        <v>44253</v>
      </c>
      <c r="M110"/>
    </row>
    <row r="111" spans="1:13" x14ac:dyDescent="0.2">
      <c r="A111">
        <v>0</v>
      </c>
      <c r="B111" s="12" t="s">
        <v>488</v>
      </c>
      <c r="C111" s="8" t="s">
        <v>1225</v>
      </c>
      <c r="D111" s="1">
        <v>8292951597</v>
      </c>
      <c r="E111" s="11" t="s">
        <v>393</v>
      </c>
      <c r="F111" s="11" t="s">
        <v>181</v>
      </c>
      <c r="G111" s="11" t="s">
        <v>175</v>
      </c>
      <c r="H111" s="11" t="s">
        <v>282</v>
      </c>
      <c r="I111" s="8" t="s">
        <v>177</v>
      </c>
      <c r="J111" s="12" t="s">
        <v>491</v>
      </c>
      <c r="K111" t="b">
        <v>1</v>
      </c>
      <c r="L111" s="10">
        <v>44253</v>
      </c>
      <c r="M111"/>
    </row>
    <row r="112" spans="1:13" x14ac:dyDescent="0.2">
      <c r="A112">
        <v>0</v>
      </c>
      <c r="B112" s="12" t="s">
        <v>494</v>
      </c>
      <c r="C112" s="8" t="s">
        <v>1226</v>
      </c>
      <c r="D112" s="1">
        <v>8297578834</v>
      </c>
      <c r="E112" s="11" t="s">
        <v>393</v>
      </c>
      <c r="F112" s="11" t="s">
        <v>181</v>
      </c>
      <c r="G112" s="11" t="s">
        <v>175</v>
      </c>
      <c r="H112" s="11" t="s">
        <v>282</v>
      </c>
      <c r="I112" s="8" t="s">
        <v>162</v>
      </c>
      <c r="J112" s="12" t="s">
        <v>496</v>
      </c>
      <c r="K112" t="b">
        <v>1</v>
      </c>
      <c r="L112" s="10">
        <v>44253</v>
      </c>
      <c r="M112"/>
    </row>
    <row r="113" spans="1:13" x14ac:dyDescent="0.2">
      <c r="A113">
        <v>0</v>
      </c>
      <c r="B113" s="12" t="s">
        <v>499</v>
      </c>
      <c r="C113" s="8" t="s">
        <v>1227</v>
      </c>
      <c r="D113" s="1">
        <v>8096193910</v>
      </c>
      <c r="E113" s="11" t="s">
        <v>393</v>
      </c>
      <c r="F113" s="11" t="s">
        <v>181</v>
      </c>
      <c r="G113" s="11" t="s">
        <v>175</v>
      </c>
      <c r="H113" s="11" t="s">
        <v>176</v>
      </c>
      <c r="I113" s="8" t="s">
        <v>177</v>
      </c>
      <c r="J113" s="12" t="s">
        <v>502</v>
      </c>
      <c r="K113" t="b">
        <v>1</v>
      </c>
      <c r="L113" s="10">
        <v>44253</v>
      </c>
      <c r="M113"/>
    </row>
    <row r="114" spans="1:13" x14ac:dyDescent="0.2">
      <c r="A114">
        <v>0</v>
      </c>
      <c r="B114" s="12" t="s">
        <v>2479</v>
      </c>
      <c r="C114" s="8" t="s">
        <v>2489</v>
      </c>
      <c r="D114" s="1">
        <v>8296169403</v>
      </c>
      <c r="E114" s="11" t="s">
        <v>393</v>
      </c>
      <c r="F114" s="11" t="s">
        <v>181</v>
      </c>
      <c r="G114" s="11" t="s">
        <v>175</v>
      </c>
      <c r="H114" s="11" t="s">
        <v>161</v>
      </c>
      <c r="I114" s="8" t="s">
        <v>177</v>
      </c>
      <c r="J114" s="12" t="s">
        <v>2482</v>
      </c>
      <c r="K114" t="b">
        <v>1</v>
      </c>
      <c r="L114" s="10">
        <v>44495</v>
      </c>
      <c r="M114"/>
    </row>
    <row r="115" spans="1:13" x14ac:dyDescent="0.2">
      <c r="A115">
        <v>0</v>
      </c>
      <c r="B115" s="12" t="s">
        <v>739</v>
      </c>
      <c r="C115" s="8" t="s">
        <v>1265</v>
      </c>
      <c r="D115" s="1">
        <v>8093875724</v>
      </c>
      <c r="E115" s="11" t="s">
        <v>393</v>
      </c>
      <c r="F115" s="11" t="s">
        <v>181</v>
      </c>
      <c r="G115" s="11" t="s">
        <v>175</v>
      </c>
      <c r="H115" s="11" t="s">
        <v>161</v>
      </c>
      <c r="I115" s="8" t="s">
        <v>162</v>
      </c>
      <c r="J115" s="12" t="s">
        <v>742</v>
      </c>
      <c r="K115" t="b">
        <v>1</v>
      </c>
      <c r="L115" s="10">
        <v>44361</v>
      </c>
      <c r="M115"/>
    </row>
    <row r="116" spans="1:13" x14ac:dyDescent="0.2">
      <c r="A116">
        <v>0</v>
      </c>
      <c r="B116" s="12" t="s">
        <v>884</v>
      </c>
      <c r="C116" s="8" t="s">
        <v>1286</v>
      </c>
      <c r="D116" s="1">
        <v>8094027554</v>
      </c>
      <c r="E116" s="11" t="s">
        <v>393</v>
      </c>
      <c r="F116" s="11" t="s">
        <v>181</v>
      </c>
      <c r="G116" s="11" t="s">
        <v>175</v>
      </c>
      <c r="H116" s="11" t="s">
        <v>176</v>
      </c>
      <c r="I116" s="8" t="s">
        <v>177</v>
      </c>
      <c r="J116" s="12" t="s">
        <v>887</v>
      </c>
      <c r="K116" t="b">
        <v>1</v>
      </c>
      <c r="L116" s="10">
        <v>44375</v>
      </c>
      <c r="M116"/>
    </row>
    <row r="117" spans="1:13" x14ac:dyDescent="0.2">
      <c r="A117">
        <v>0</v>
      </c>
      <c r="B117" s="12" t="s">
        <v>2410</v>
      </c>
      <c r="C117" s="8" t="s">
        <v>1307</v>
      </c>
      <c r="D117" s="1">
        <v>8293059094</v>
      </c>
      <c r="E117" s="11" t="s">
        <v>182</v>
      </c>
      <c r="F117" s="11" t="s">
        <v>181</v>
      </c>
      <c r="G117" s="11" t="s">
        <v>175</v>
      </c>
      <c r="H117" s="11" t="s">
        <v>176</v>
      </c>
      <c r="I117" s="8" t="s">
        <v>177</v>
      </c>
      <c r="J117" s="12" t="s">
        <v>1007</v>
      </c>
      <c r="K117" t="b">
        <v>1</v>
      </c>
      <c r="L117" s="10">
        <v>44408</v>
      </c>
      <c r="M117"/>
    </row>
    <row r="118" spans="1:13" x14ac:dyDescent="0.2">
      <c r="A118">
        <v>0</v>
      </c>
      <c r="B118" s="12" t="s">
        <v>505</v>
      </c>
      <c r="C118" s="8" t="s">
        <v>1228</v>
      </c>
      <c r="D118" s="1">
        <v>8095397525</v>
      </c>
      <c r="E118" s="11" t="s">
        <v>393</v>
      </c>
      <c r="F118" s="11" t="s">
        <v>181</v>
      </c>
      <c r="G118" s="11" t="s">
        <v>175</v>
      </c>
      <c r="H118" s="11" t="s">
        <v>282</v>
      </c>
      <c r="I118" s="8" t="s">
        <v>162</v>
      </c>
      <c r="J118" s="12" t="s">
        <v>508</v>
      </c>
      <c r="K118" t="b">
        <v>1</v>
      </c>
      <c r="L118" s="10">
        <v>44253</v>
      </c>
      <c r="M118"/>
    </row>
    <row r="119" spans="1:13" x14ac:dyDescent="0.2">
      <c r="A119">
        <v>0</v>
      </c>
      <c r="B119" s="12" t="s">
        <v>2412</v>
      </c>
      <c r="C119" s="8" t="s">
        <v>2490</v>
      </c>
      <c r="D119" s="1">
        <v>8096399961</v>
      </c>
      <c r="E119" s="11" t="s">
        <v>182</v>
      </c>
      <c r="F119" s="11" t="s">
        <v>181</v>
      </c>
      <c r="G119" s="11" t="s">
        <v>175</v>
      </c>
      <c r="H119" s="11" t="s">
        <v>201</v>
      </c>
      <c r="I119" s="8" t="s">
        <v>177</v>
      </c>
      <c r="J119" s="12" t="s">
        <v>2415</v>
      </c>
      <c r="K119" t="b">
        <v>1</v>
      </c>
      <c r="L119" s="10">
        <v>44481</v>
      </c>
      <c r="M119"/>
    </row>
    <row r="120" spans="1:13" x14ac:dyDescent="0.2">
      <c r="A120">
        <v>0</v>
      </c>
      <c r="B120" s="12" t="s">
        <v>2436</v>
      </c>
      <c r="C120" s="8" t="s">
        <v>2491</v>
      </c>
      <c r="D120" s="1">
        <v>8094806645</v>
      </c>
      <c r="E120" s="11" t="s">
        <v>2440</v>
      </c>
      <c r="F120" s="11" t="s">
        <v>181</v>
      </c>
      <c r="G120" s="11" t="s">
        <v>175</v>
      </c>
      <c r="H120" s="11" t="s">
        <v>161</v>
      </c>
      <c r="I120" s="8" t="s">
        <v>177</v>
      </c>
      <c r="J120" s="12" t="s">
        <v>2439</v>
      </c>
      <c r="K120" t="b">
        <v>1</v>
      </c>
      <c r="L120" s="10">
        <v>44487</v>
      </c>
      <c r="M120"/>
    </row>
    <row r="121" spans="1:13" x14ac:dyDescent="0.2">
      <c r="A121">
        <v>0</v>
      </c>
      <c r="B121" s="12" t="s">
        <v>296</v>
      </c>
      <c r="C121" s="8" t="s">
        <v>1193</v>
      </c>
      <c r="D121" s="1">
        <v>8093067023</v>
      </c>
      <c r="E121" s="11" t="s">
        <v>182</v>
      </c>
      <c r="F121" s="11" t="s">
        <v>181</v>
      </c>
      <c r="G121" s="11" t="s">
        <v>175</v>
      </c>
      <c r="H121" s="11" t="s">
        <v>176</v>
      </c>
      <c r="I121" s="8" t="s">
        <v>177</v>
      </c>
      <c r="J121" s="12" t="s">
        <v>299</v>
      </c>
      <c r="K121" t="b">
        <v>1</v>
      </c>
      <c r="L121" s="10">
        <v>44447</v>
      </c>
      <c r="M121"/>
    </row>
    <row r="122" spans="1:13" x14ac:dyDescent="0.2">
      <c r="A122">
        <v>0</v>
      </c>
      <c r="B122" s="12" t="s">
        <v>511</v>
      </c>
      <c r="C122" s="8" t="s">
        <v>1229</v>
      </c>
      <c r="D122" s="1">
        <v>8094465219</v>
      </c>
      <c r="E122" s="11" t="s">
        <v>393</v>
      </c>
      <c r="F122" s="11" t="s">
        <v>181</v>
      </c>
      <c r="G122" s="11" t="s">
        <v>175</v>
      </c>
      <c r="H122" s="11" t="s">
        <v>176</v>
      </c>
      <c r="I122" s="8" t="s">
        <v>177</v>
      </c>
      <c r="J122" s="12" t="s">
        <v>514</v>
      </c>
      <c r="K122" t="b">
        <v>1</v>
      </c>
      <c r="L122" s="10">
        <v>44253</v>
      </c>
      <c r="M122"/>
    </row>
    <row r="123" spans="1:13" x14ac:dyDescent="0.2">
      <c r="A123">
        <v>0</v>
      </c>
      <c r="B123" s="12" t="s">
        <v>302</v>
      </c>
      <c r="C123" s="8" t="s">
        <v>1194</v>
      </c>
      <c r="D123" s="1">
        <v>8295635385</v>
      </c>
      <c r="E123" s="11" t="s">
        <v>182</v>
      </c>
      <c r="F123" s="11" t="s">
        <v>181</v>
      </c>
      <c r="G123" s="11" t="s">
        <v>175</v>
      </c>
      <c r="H123" s="11" t="s">
        <v>282</v>
      </c>
      <c r="I123" s="8" t="s">
        <v>177</v>
      </c>
      <c r="J123" s="12" t="s">
        <v>304</v>
      </c>
      <c r="K123" t="b">
        <v>1</v>
      </c>
      <c r="L123" s="10">
        <v>44253</v>
      </c>
      <c r="M123"/>
    </row>
    <row r="124" spans="1:13" x14ac:dyDescent="0.2">
      <c r="A124">
        <v>0</v>
      </c>
      <c r="B124" s="12" t="s">
        <v>307</v>
      </c>
      <c r="C124" s="8" t="s">
        <v>1195</v>
      </c>
      <c r="D124" s="1">
        <v>8097023072</v>
      </c>
      <c r="E124" s="11" t="s">
        <v>182</v>
      </c>
      <c r="F124" s="11" t="s">
        <v>181</v>
      </c>
      <c r="G124" s="11" t="s">
        <v>175</v>
      </c>
      <c r="H124" s="11" t="s">
        <v>176</v>
      </c>
      <c r="I124" s="8" t="s">
        <v>177</v>
      </c>
      <c r="J124" s="12" t="s">
        <v>310</v>
      </c>
      <c r="K124" t="b">
        <v>1</v>
      </c>
      <c r="L124" s="10">
        <v>44253</v>
      </c>
      <c r="M124"/>
    </row>
    <row r="125" spans="1:13" x14ac:dyDescent="0.2">
      <c r="A125">
        <v>0</v>
      </c>
      <c r="B125" s="12" t="s">
        <v>313</v>
      </c>
      <c r="C125" s="8" t="s">
        <v>1196</v>
      </c>
      <c r="D125" s="1">
        <v>8292640251</v>
      </c>
      <c r="E125" s="11" t="s">
        <v>182</v>
      </c>
      <c r="F125" s="11" t="s">
        <v>181</v>
      </c>
      <c r="G125" s="11" t="s">
        <v>175</v>
      </c>
      <c r="H125" s="11" t="s">
        <v>282</v>
      </c>
      <c r="I125" s="8" t="s">
        <v>177</v>
      </c>
      <c r="J125" s="12" t="s">
        <v>316</v>
      </c>
      <c r="K125" t="b">
        <v>1</v>
      </c>
      <c r="L125" s="10">
        <v>44253</v>
      </c>
      <c r="M125"/>
    </row>
    <row r="126" spans="1:13" x14ac:dyDescent="0.2">
      <c r="A126">
        <v>0</v>
      </c>
      <c r="B126" s="12" t="s">
        <v>380</v>
      </c>
      <c r="C126" s="8" t="s">
        <v>1207</v>
      </c>
      <c r="D126" s="1">
        <v>8293363427</v>
      </c>
      <c r="E126" s="11" t="s">
        <v>386</v>
      </c>
      <c r="F126" s="11" t="s">
        <v>181</v>
      </c>
      <c r="G126" s="11" t="s">
        <v>175</v>
      </c>
      <c r="H126" s="11" t="s">
        <v>176</v>
      </c>
      <c r="I126" s="8" t="s">
        <v>177</v>
      </c>
      <c r="J126" s="12" t="s">
        <v>383</v>
      </c>
      <c r="K126" t="b">
        <v>1</v>
      </c>
      <c r="L126" s="10">
        <v>44253</v>
      </c>
      <c r="M126"/>
    </row>
    <row r="127" spans="1:13" x14ac:dyDescent="0.2">
      <c r="A127">
        <v>0</v>
      </c>
      <c r="B127" s="12" t="s">
        <v>811</v>
      </c>
      <c r="C127" s="8" t="s">
        <v>2322</v>
      </c>
      <c r="D127" s="1">
        <v>8494564610</v>
      </c>
      <c r="E127" s="11" t="s">
        <v>393</v>
      </c>
      <c r="F127" s="11" t="s">
        <v>181</v>
      </c>
      <c r="G127" s="11" t="s">
        <v>175</v>
      </c>
      <c r="H127" s="11" t="s">
        <v>161</v>
      </c>
      <c r="I127" s="8" t="s">
        <v>177</v>
      </c>
      <c r="J127" s="12" t="s">
        <v>814</v>
      </c>
      <c r="K127" t="b">
        <v>1</v>
      </c>
      <c r="L127" s="10">
        <v>44365</v>
      </c>
      <c r="M127"/>
    </row>
    <row r="128" spans="1:13" x14ac:dyDescent="0.2">
      <c r="A128">
        <v>0</v>
      </c>
      <c r="B128" s="12" t="s">
        <v>2366</v>
      </c>
      <c r="C128" s="8" t="s">
        <v>2382</v>
      </c>
      <c r="D128" s="1">
        <v>8492699761</v>
      </c>
      <c r="E128" s="11" t="s">
        <v>182</v>
      </c>
      <c r="F128" s="11" t="s">
        <v>181</v>
      </c>
      <c r="G128" s="11" t="s">
        <v>160</v>
      </c>
      <c r="H128" s="11" t="s">
        <v>201</v>
      </c>
      <c r="I128" s="8" t="s">
        <v>160</v>
      </c>
      <c r="J128" s="12" t="s">
        <v>2369</v>
      </c>
      <c r="K128" t="b">
        <v>1</v>
      </c>
      <c r="L128" s="10">
        <v>44475</v>
      </c>
      <c r="M128"/>
    </row>
    <row r="129" spans="1:13" x14ac:dyDescent="0.2">
      <c r="A129">
        <v>0</v>
      </c>
      <c r="B129" s="12" t="s">
        <v>1024</v>
      </c>
      <c r="C129" s="8" t="s">
        <v>1310</v>
      </c>
      <c r="D129" s="1">
        <v>8298397444</v>
      </c>
      <c r="E129" s="11" t="s">
        <v>393</v>
      </c>
      <c r="F129" s="11" t="s">
        <v>181</v>
      </c>
      <c r="G129" s="11" t="s">
        <v>175</v>
      </c>
      <c r="H129" s="11" t="s">
        <v>176</v>
      </c>
      <c r="I129" s="8" t="s">
        <v>177</v>
      </c>
      <c r="J129" s="12" t="s">
        <v>1027</v>
      </c>
      <c r="K129" t="b">
        <v>1</v>
      </c>
      <c r="L129" s="10">
        <v>44410</v>
      </c>
      <c r="M129"/>
    </row>
    <row r="130" spans="1:13" x14ac:dyDescent="0.2">
      <c r="A130">
        <v>0</v>
      </c>
      <c r="B130" s="12" t="s">
        <v>2423</v>
      </c>
      <c r="C130" s="8" t="s">
        <v>2492</v>
      </c>
      <c r="D130" s="1">
        <v>8292967584</v>
      </c>
      <c r="E130" s="11" t="s">
        <v>393</v>
      </c>
      <c r="F130" s="11" t="s">
        <v>181</v>
      </c>
      <c r="G130" s="11" t="s">
        <v>175</v>
      </c>
      <c r="H130" s="11" t="s">
        <v>282</v>
      </c>
      <c r="I130" s="8" t="s">
        <v>177</v>
      </c>
      <c r="J130" s="12" t="s">
        <v>2424</v>
      </c>
      <c r="K130" t="b">
        <v>1</v>
      </c>
      <c r="L130" s="10">
        <v>44494</v>
      </c>
      <c r="M130"/>
    </row>
    <row r="131" spans="1:13" x14ac:dyDescent="0.2">
      <c r="A131">
        <v>0</v>
      </c>
      <c r="B131" s="12" t="s">
        <v>663</v>
      </c>
      <c r="C131" s="8" t="s">
        <v>1249</v>
      </c>
      <c r="D131" s="1">
        <v>8295432093</v>
      </c>
      <c r="E131" s="11" t="s">
        <v>182</v>
      </c>
      <c r="F131" s="11" t="s">
        <v>181</v>
      </c>
      <c r="G131" s="11" t="s">
        <v>160</v>
      </c>
      <c r="H131" s="11" t="s">
        <v>201</v>
      </c>
      <c r="I131" s="8" t="s">
        <v>160</v>
      </c>
      <c r="K131" t="b">
        <v>1</v>
      </c>
      <c r="L131" s="10">
        <v>44358</v>
      </c>
      <c r="M131"/>
    </row>
    <row r="132" spans="1:13" x14ac:dyDescent="0.2">
      <c r="A132">
        <v>0</v>
      </c>
      <c r="B132" s="12" t="s">
        <v>2425</v>
      </c>
      <c r="C132" s="8" t="s">
        <v>2493</v>
      </c>
      <c r="D132" s="1">
        <v>8097641172</v>
      </c>
      <c r="E132" s="11" t="s">
        <v>393</v>
      </c>
      <c r="F132" s="11" t="s">
        <v>181</v>
      </c>
      <c r="G132" s="11" t="s">
        <v>175</v>
      </c>
      <c r="H132" s="11" t="s">
        <v>161</v>
      </c>
      <c r="I132" s="8" t="s">
        <v>177</v>
      </c>
      <c r="J132" s="12" t="s">
        <v>2427</v>
      </c>
      <c r="K132" t="b">
        <v>1</v>
      </c>
      <c r="L132" s="10">
        <v>44475</v>
      </c>
      <c r="M132"/>
    </row>
    <row r="133" spans="1:13" x14ac:dyDescent="0.2">
      <c r="A133">
        <v>0</v>
      </c>
      <c r="B133" s="12" t="s">
        <v>319</v>
      </c>
      <c r="C133" s="8" t="s">
        <v>1197</v>
      </c>
      <c r="D133" s="1">
        <v>8297529068</v>
      </c>
      <c r="E133" s="11" t="s">
        <v>182</v>
      </c>
      <c r="F133" s="11" t="s">
        <v>181</v>
      </c>
      <c r="G133" s="11" t="s">
        <v>160</v>
      </c>
      <c r="H133" s="11" t="s">
        <v>201</v>
      </c>
      <c r="I133" s="8" t="s">
        <v>160</v>
      </c>
      <c r="J133" s="12" t="s">
        <v>201</v>
      </c>
      <c r="K133" t="b">
        <v>1</v>
      </c>
      <c r="L133" s="10">
        <v>44253</v>
      </c>
      <c r="M133"/>
    </row>
    <row r="134" spans="1:13" x14ac:dyDescent="0.2">
      <c r="A134">
        <v>0</v>
      </c>
      <c r="B134" s="12" t="s">
        <v>965</v>
      </c>
      <c r="C134" s="8" t="s">
        <v>1300</v>
      </c>
      <c r="D134" s="1">
        <v>8498590649</v>
      </c>
      <c r="E134" s="11" t="s">
        <v>393</v>
      </c>
      <c r="F134" s="11" t="s">
        <v>181</v>
      </c>
      <c r="G134" s="11" t="s">
        <v>175</v>
      </c>
      <c r="H134" s="11" t="s">
        <v>282</v>
      </c>
      <c r="I134" s="8" t="s">
        <v>177</v>
      </c>
      <c r="J134" s="12" t="s">
        <v>968</v>
      </c>
      <c r="K134" t="b">
        <v>1</v>
      </c>
      <c r="L134" s="10">
        <v>44375</v>
      </c>
      <c r="M134"/>
    </row>
    <row r="135" spans="1:13" x14ac:dyDescent="0.2">
      <c r="A135">
        <v>0</v>
      </c>
      <c r="B135" s="12" t="s">
        <v>756</v>
      </c>
      <c r="C135" s="8" t="s">
        <v>2374</v>
      </c>
      <c r="D135" s="1">
        <v>8294509373</v>
      </c>
      <c r="E135" s="11" t="s">
        <v>760</v>
      </c>
      <c r="F135" s="11" t="s">
        <v>181</v>
      </c>
      <c r="G135" s="11" t="s">
        <v>175</v>
      </c>
      <c r="H135" s="11" t="s">
        <v>161</v>
      </c>
      <c r="I135" s="8" t="s">
        <v>177</v>
      </c>
      <c r="J135" s="12" t="s">
        <v>759</v>
      </c>
      <c r="K135" t="b">
        <v>1</v>
      </c>
      <c r="L135" s="10">
        <v>44434</v>
      </c>
      <c r="M135"/>
    </row>
    <row r="136" spans="1:13" x14ac:dyDescent="0.2">
      <c r="A136">
        <v>0</v>
      </c>
      <c r="B136" s="12" t="s">
        <v>748</v>
      </c>
      <c r="C136" s="8" t="s">
        <v>1267</v>
      </c>
      <c r="D136" s="1">
        <v>8299850721</v>
      </c>
      <c r="E136" s="11" t="s">
        <v>182</v>
      </c>
      <c r="F136" s="11" t="s">
        <v>181</v>
      </c>
      <c r="G136" s="11" t="s">
        <v>175</v>
      </c>
      <c r="H136" s="11" t="s">
        <v>176</v>
      </c>
      <c r="I136" s="8" t="s">
        <v>162</v>
      </c>
      <c r="J136" s="12" t="s">
        <v>751</v>
      </c>
      <c r="K136" t="b">
        <v>1</v>
      </c>
      <c r="L136" s="10">
        <v>44357</v>
      </c>
      <c r="M136"/>
    </row>
    <row r="137" spans="1:13" x14ac:dyDescent="0.2">
      <c r="A137">
        <v>0</v>
      </c>
      <c r="B137" s="12" t="s">
        <v>837</v>
      </c>
      <c r="C137" s="8" t="s">
        <v>1277</v>
      </c>
      <c r="D137" s="1">
        <v>8097097575</v>
      </c>
      <c r="E137" s="11" t="s">
        <v>182</v>
      </c>
      <c r="F137" s="11" t="s">
        <v>181</v>
      </c>
      <c r="G137" s="11" t="s">
        <v>175</v>
      </c>
      <c r="H137" s="11" t="s">
        <v>176</v>
      </c>
      <c r="I137" s="8" t="s">
        <v>177</v>
      </c>
      <c r="J137" s="12" t="s">
        <v>840</v>
      </c>
      <c r="K137" t="b">
        <v>1</v>
      </c>
      <c r="L137" s="10">
        <v>44376</v>
      </c>
      <c r="M137"/>
    </row>
    <row r="138" spans="1:13" x14ac:dyDescent="0.2">
      <c r="A138">
        <v>0</v>
      </c>
      <c r="B138" s="12" t="s">
        <v>803</v>
      </c>
      <c r="C138" s="8" t="s">
        <v>1273</v>
      </c>
      <c r="D138" s="1">
        <v>8098161269</v>
      </c>
      <c r="E138" s="11" t="s">
        <v>182</v>
      </c>
      <c r="F138" s="11" t="s">
        <v>181</v>
      </c>
      <c r="G138" s="11" t="s">
        <v>175</v>
      </c>
      <c r="H138" s="11" t="s">
        <v>176</v>
      </c>
      <c r="I138" s="8" t="s">
        <v>177</v>
      </c>
      <c r="J138" s="12" t="s">
        <v>805</v>
      </c>
      <c r="K138" t="b">
        <v>1</v>
      </c>
      <c r="L138" s="10">
        <v>44390</v>
      </c>
      <c r="M138"/>
    </row>
    <row r="139" spans="1:13" x14ac:dyDescent="0.2">
      <c r="A139">
        <v>0</v>
      </c>
      <c r="B139" s="12" t="s">
        <v>651</v>
      </c>
      <c r="C139" s="8" t="s">
        <v>1247</v>
      </c>
      <c r="D139" s="1">
        <v>8096072799</v>
      </c>
      <c r="E139" s="11" t="s">
        <v>393</v>
      </c>
      <c r="F139" s="11" t="s">
        <v>181</v>
      </c>
      <c r="G139" s="11" t="s">
        <v>175</v>
      </c>
      <c r="H139" s="11" t="s">
        <v>176</v>
      </c>
      <c r="I139" s="8" t="s">
        <v>177</v>
      </c>
      <c r="J139" s="12" t="s">
        <v>654</v>
      </c>
      <c r="K139" t="b">
        <v>1</v>
      </c>
      <c r="L139" s="10">
        <v>44358</v>
      </c>
      <c r="M139"/>
    </row>
    <row r="140" spans="1:13" x14ac:dyDescent="0.2">
      <c r="A140">
        <v>0</v>
      </c>
      <c r="B140" s="12" t="s">
        <v>1009</v>
      </c>
      <c r="C140" s="8" t="s">
        <v>1308</v>
      </c>
      <c r="D140" s="1">
        <v>8297662608</v>
      </c>
      <c r="E140" s="11" t="s">
        <v>182</v>
      </c>
      <c r="F140" s="11" t="s">
        <v>181</v>
      </c>
      <c r="G140" s="11" t="s">
        <v>175</v>
      </c>
      <c r="H140" s="11" t="s">
        <v>176</v>
      </c>
      <c r="I140" s="8" t="s">
        <v>177</v>
      </c>
      <c r="J140" s="12" t="s">
        <v>1012</v>
      </c>
      <c r="K140" t="b">
        <v>1</v>
      </c>
      <c r="L140" s="10">
        <v>44410</v>
      </c>
      <c r="M140"/>
    </row>
    <row r="141" spans="1:13" x14ac:dyDescent="0.2">
      <c r="A141">
        <v>0</v>
      </c>
      <c r="B141" s="12" t="s">
        <v>690</v>
      </c>
      <c r="C141" s="8" t="s">
        <v>1256</v>
      </c>
      <c r="D141" s="1">
        <v>8498681966</v>
      </c>
      <c r="E141" s="11" t="s">
        <v>182</v>
      </c>
      <c r="F141" s="11" t="s">
        <v>181</v>
      </c>
      <c r="G141" s="11" t="s">
        <v>175</v>
      </c>
      <c r="H141" s="11" t="s">
        <v>161</v>
      </c>
      <c r="I141" s="8" t="s">
        <v>177</v>
      </c>
      <c r="J141" s="12" t="s">
        <v>693</v>
      </c>
      <c r="K141" t="b">
        <v>1</v>
      </c>
      <c r="L141" s="10">
        <v>44358</v>
      </c>
      <c r="M141"/>
    </row>
    <row r="142" spans="1:13" x14ac:dyDescent="0.2">
      <c r="A142">
        <v>0</v>
      </c>
      <c r="B142" s="12" t="s">
        <v>579</v>
      </c>
      <c r="C142" s="8" t="s">
        <v>1237</v>
      </c>
      <c r="D142" s="1">
        <v>8293875591</v>
      </c>
      <c r="E142" s="11" t="s">
        <v>182</v>
      </c>
      <c r="F142" s="11" t="s">
        <v>181</v>
      </c>
      <c r="G142" s="11" t="s">
        <v>160</v>
      </c>
      <c r="H142" s="11" t="s">
        <v>201</v>
      </c>
      <c r="I142" s="8" t="s">
        <v>160</v>
      </c>
      <c r="J142" s="12" t="s">
        <v>201</v>
      </c>
      <c r="K142" t="b">
        <v>1</v>
      </c>
      <c r="L142" s="10">
        <v>44355</v>
      </c>
      <c r="M142"/>
    </row>
    <row r="143" spans="1:13" x14ac:dyDescent="0.2">
      <c r="A143">
        <v>0</v>
      </c>
      <c r="B143" s="12" t="s">
        <v>517</v>
      </c>
      <c r="C143" s="8" t="s">
        <v>1230</v>
      </c>
      <c r="D143" s="1">
        <v>8294403270</v>
      </c>
      <c r="E143" s="11" t="s">
        <v>393</v>
      </c>
      <c r="F143" s="11" t="s">
        <v>181</v>
      </c>
      <c r="G143" s="11" t="s">
        <v>175</v>
      </c>
      <c r="H143" s="11" t="s">
        <v>161</v>
      </c>
      <c r="I143" s="8" t="s">
        <v>177</v>
      </c>
      <c r="J143" s="12" t="s">
        <v>519</v>
      </c>
      <c r="K143" t="b">
        <v>1</v>
      </c>
      <c r="L143" s="10">
        <v>44253</v>
      </c>
      <c r="M143"/>
    </row>
    <row r="144" spans="1:13" x14ac:dyDescent="0.2">
      <c r="A144">
        <v>0</v>
      </c>
      <c r="B144" s="12" t="s">
        <v>1112</v>
      </c>
      <c r="C144" s="8" t="s">
        <v>1328</v>
      </c>
      <c r="D144" s="1">
        <v>8293503446</v>
      </c>
      <c r="E144" s="11" t="s">
        <v>393</v>
      </c>
      <c r="F144" s="11" t="s">
        <v>181</v>
      </c>
      <c r="G144" s="11" t="s">
        <v>175</v>
      </c>
      <c r="H144" s="11" t="s">
        <v>176</v>
      </c>
      <c r="I144" s="8" t="s">
        <v>177</v>
      </c>
      <c r="J144" s="12" t="s">
        <v>1115</v>
      </c>
      <c r="K144" t="b">
        <v>1</v>
      </c>
      <c r="L144" s="10">
        <v>44442</v>
      </c>
      <c r="M144"/>
    </row>
    <row r="145" spans="1:13" x14ac:dyDescent="0.2">
      <c r="A145">
        <v>0</v>
      </c>
      <c r="B145" s="12" t="s">
        <v>1014</v>
      </c>
      <c r="C145" s="8" t="s">
        <v>2323</v>
      </c>
      <c r="D145" s="1">
        <v>8099634423</v>
      </c>
      <c r="E145" s="11" t="s">
        <v>393</v>
      </c>
      <c r="F145" s="11" t="s">
        <v>181</v>
      </c>
      <c r="G145" s="11" t="s">
        <v>175</v>
      </c>
      <c r="H145" s="11" t="s">
        <v>161</v>
      </c>
      <c r="I145" s="8" t="s">
        <v>177</v>
      </c>
      <c r="J145" s="12" t="s">
        <v>1017</v>
      </c>
      <c r="K145" t="b">
        <v>1</v>
      </c>
      <c r="L145" s="10">
        <v>44412</v>
      </c>
      <c r="M145"/>
    </row>
    <row r="146" spans="1:13" x14ac:dyDescent="0.2">
      <c r="A146">
        <v>0</v>
      </c>
      <c r="B146" s="12" t="s">
        <v>842</v>
      </c>
      <c r="C146" s="8" t="s">
        <v>1278</v>
      </c>
      <c r="D146" s="1">
        <v>8295841714</v>
      </c>
      <c r="E146" s="11" t="s">
        <v>393</v>
      </c>
      <c r="F146" s="11" t="s">
        <v>181</v>
      </c>
      <c r="G146" s="11" t="s">
        <v>175</v>
      </c>
      <c r="H146" s="11" t="s">
        <v>176</v>
      </c>
      <c r="I146" s="8" t="s">
        <v>177</v>
      </c>
      <c r="J146" s="12" t="s">
        <v>845</v>
      </c>
      <c r="K146" t="b">
        <v>1</v>
      </c>
      <c r="L146" s="10">
        <v>44376</v>
      </c>
      <c r="M146"/>
    </row>
    <row r="147" spans="1:13" x14ac:dyDescent="0.2">
      <c r="A147">
        <v>0</v>
      </c>
      <c r="B147" s="12" t="s">
        <v>1069</v>
      </c>
      <c r="C147" s="8" t="s">
        <v>1318</v>
      </c>
      <c r="D147" s="1">
        <v>8292679521</v>
      </c>
      <c r="E147" s="11" t="s">
        <v>182</v>
      </c>
      <c r="F147" s="11" t="s">
        <v>181</v>
      </c>
      <c r="G147" s="11" t="s">
        <v>175</v>
      </c>
      <c r="H147" s="11" t="s">
        <v>282</v>
      </c>
      <c r="I147" s="8" t="s">
        <v>177</v>
      </c>
      <c r="J147" s="12" t="s">
        <v>1072</v>
      </c>
      <c r="K147" t="b">
        <v>1</v>
      </c>
      <c r="L147" s="10">
        <v>44447</v>
      </c>
      <c r="M147"/>
    </row>
    <row r="148" spans="1:13" x14ac:dyDescent="0.2">
      <c r="A148">
        <v>0</v>
      </c>
      <c r="B148" s="12" t="s">
        <v>1133</v>
      </c>
      <c r="C148" s="8" t="s">
        <v>1333</v>
      </c>
      <c r="D148" s="1">
        <v>8299386581</v>
      </c>
      <c r="E148" s="11" t="s">
        <v>182</v>
      </c>
      <c r="F148" s="11" t="s">
        <v>181</v>
      </c>
      <c r="G148" s="11" t="s">
        <v>175</v>
      </c>
      <c r="H148" s="11" t="s">
        <v>176</v>
      </c>
      <c r="I148" s="8" t="s">
        <v>177</v>
      </c>
      <c r="J148" s="12" t="s">
        <v>1136</v>
      </c>
      <c r="K148" t="b">
        <v>1</v>
      </c>
      <c r="L148" s="10">
        <v>44445</v>
      </c>
      <c r="M148"/>
    </row>
    <row r="149" spans="1:13" x14ac:dyDescent="0.2">
      <c r="A149">
        <v>0</v>
      </c>
      <c r="B149" s="12" t="s">
        <v>913</v>
      </c>
      <c r="C149" s="8" t="s">
        <v>1291</v>
      </c>
      <c r="D149" s="1">
        <v>8098734711</v>
      </c>
      <c r="E149" s="11" t="s">
        <v>393</v>
      </c>
      <c r="F149" s="11" t="s">
        <v>181</v>
      </c>
      <c r="G149" s="11" t="s">
        <v>175</v>
      </c>
      <c r="H149" s="11" t="s">
        <v>282</v>
      </c>
      <c r="I149" s="8" t="s">
        <v>177</v>
      </c>
      <c r="J149" s="12" t="s">
        <v>916</v>
      </c>
      <c r="K149" t="b">
        <v>1</v>
      </c>
      <c r="L149" s="10">
        <v>44384</v>
      </c>
      <c r="M149"/>
    </row>
    <row r="150" spans="1:13" x14ac:dyDescent="0.2">
      <c r="A150">
        <v>0</v>
      </c>
      <c r="B150" s="12" t="s">
        <v>617</v>
      </c>
      <c r="C150" s="8" t="s">
        <v>1242</v>
      </c>
      <c r="D150" s="1">
        <v>8094072524</v>
      </c>
      <c r="E150" s="11" t="s">
        <v>182</v>
      </c>
      <c r="F150" s="11" t="s">
        <v>181</v>
      </c>
      <c r="G150" s="11" t="s">
        <v>175</v>
      </c>
      <c r="H150" s="11" t="s">
        <v>176</v>
      </c>
      <c r="I150" s="8" t="s">
        <v>177</v>
      </c>
      <c r="J150" s="12" t="s">
        <v>620</v>
      </c>
      <c r="K150" t="b">
        <v>1</v>
      </c>
      <c r="L150" s="10">
        <v>44356</v>
      </c>
      <c r="M150"/>
    </row>
    <row r="151" spans="1:13" x14ac:dyDescent="0.2">
      <c r="A151">
        <v>0</v>
      </c>
      <c r="B151" s="12" t="s">
        <v>2361</v>
      </c>
      <c r="C151" s="8" t="s">
        <v>2383</v>
      </c>
      <c r="D151" s="1">
        <v>8092995703</v>
      </c>
      <c r="E151" s="11" t="s">
        <v>182</v>
      </c>
      <c r="F151" s="11" t="s">
        <v>181</v>
      </c>
      <c r="G151" s="11" t="s">
        <v>175</v>
      </c>
      <c r="H151" s="11" t="s">
        <v>176</v>
      </c>
      <c r="I151" s="8" t="s">
        <v>177</v>
      </c>
      <c r="J151" s="12" t="s">
        <v>2364</v>
      </c>
      <c r="K151" t="b">
        <v>1</v>
      </c>
      <c r="L151" s="10">
        <v>44466</v>
      </c>
      <c r="M151"/>
    </row>
    <row r="152" spans="1:13" x14ac:dyDescent="0.2">
      <c r="A152">
        <v>0</v>
      </c>
      <c r="B152" s="12" t="s">
        <v>330</v>
      </c>
      <c r="C152" s="8" t="s">
        <v>1198</v>
      </c>
      <c r="D152" s="1">
        <v>8296367776</v>
      </c>
      <c r="E152" s="11" t="s">
        <v>182</v>
      </c>
      <c r="F152" s="11" t="s">
        <v>181</v>
      </c>
      <c r="G152" s="11" t="s">
        <v>160</v>
      </c>
      <c r="H152" s="11" t="s">
        <v>201</v>
      </c>
      <c r="I152" s="8" t="s">
        <v>160</v>
      </c>
      <c r="J152" s="12" t="s">
        <v>201</v>
      </c>
      <c r="K152" t="b">
        <v>1</v>
      </c>
      <c r="L152" s="10">
        <v>44253</v>
      </c>
      <c r="M152"/>
    </row>
    <row r="153" spans="1:13" x14ac:dyDescent="0.2">
      <c r="A153">
        <v>0</v>
      </c>
      <c r="B153" s="12" t="s">
        <v>947</v>
      </c>
      <c r="C153" s="8" t="s">
        <v>1296</v>
      </c>
      <c r="D153" s="1">
        <v>8293714811</v>
      </c>
      <c r="E153" s="11" t="s">
        <v>393</v>
      </c>
      <c r="F153" s="11" t="s">
        <v>181</v>
      </c>
      <c r="G153" s="11" t="s">
        <v>175</v>
      </c>
      <c r="H153" s="11" t="s">
        <v>161</v>
      </c>
      <c r="I153" s="8" t="s">
        <v>177</v>
      </c>
      <c r="J153" s="12" t="s">
        <v>950</v>
      </c>
      <c r="K153" t="b">
        <v>1</v>
      </c>
      <c r="L153" s="10">
        <v>44392</v>
      </c>
      <c r="M153"/>
    </row>
    <row r="154" spans="1:13" x14ac:dyDescent="0.2">
      <c r="A154">
        <v>0</v>
      </c>
      <c r="B154" s="12" t="s">
        <v>2469</v>
      </c>
      <c r="C154" s="8" t="s">
        <v>2494</v>
      </c>
      <c r="D154" s="1">
        <v>8298018197</v>
      </c>
      <c r="E154" s="11" t="s">
        <v>393</v>
      </c>
      <c r="F154" s="11" t="s">
        <v>181</v>
      </c>
      <c r="G154" s="11" t="s">
        <v>175</v>
      </c>
      <c r="H154" s="11" t="s">
        <v>243</v>
      </c>
      <c r="I154" s="8" t="s">
        <v>177</v>
      </c>
      <c r="J154" s="12" t="s">
        <v>2472</v>
      </c>
      <c r="K154" t="b">
        <v>1</v>
      </c>
      <c r="L154" s="10">
        <v>44487</v>
      </c>
      <c r="M154"/>
    </row>
    <row r="155" spans="1:13" x14ac:dyDescent="0.2">
      <c r="A155">
        <v>0</v>
      </c>
      <c r="B155" s="12" t="s">
        <v>771</v>
      </c>
      <c r="C155" s="8" t="s">
        <v>2324</v>
      </c>
      <c r="D155" s="1">
        <v>8094073791</v>
      </c>
      <c r="E155" s="11" t="s">
        <v>182</v>
      </c>
      <c r="F155" s="11" t="s">
        <v>181</v>
      </c>
      <c r="G155" s="11" t="s">
        <v>175</v>
      </c>
      <c r="H155" s="11" t="s">
        <v>176</v>
      </c>
      <c r="I155" s="8" t="s">
        <v>177</v>
      </c>
      <c r="J155" s="12" t="s">
        <v>774</v>
      </c>
      <c r="K155" t="b">
        <v>1</v>
      </c>
      <c r="L155" s="10">
        <v>44362</v>
      </c>
      <c r="M155"/>
    </row>
    <row r="156" spans="1:13" x14ac:dyDescent="0.2">
      <c r="A156">
        <v>0</v>
      </c>
      <c r="B156" s="12" t="s">
        <v>862</v>
      </c>
      <c r="C156" s="8" t="s">
        <v>1282</v>
      </c>
      <c r="D156" s="1">
        <v>8094268978</v>
      </c>
      <c r="E156" s="11" t="s">
        <v>393</v>
      </c>
      <c r="F156" s="11" t="s">
        <v>181</v>
      </c>
      <c r="G156" s="11" t="s">
        <v>175</v>
      </c>
      <c r="H156" s="11" t="s">
        <v>176</v>
      </c>
      <c r="I156" s="8" t="s">
        <v>177</v>
      </c>
      <c r="J156" s="12" t="s">
        <v>865</v>
      </c>
      <c r="K156" t="b">
        <v>1</v>
      </c>
      <c r="L156" s="10">
        <v>44377</v>
      </c>
      <c r="M156"/>
    </row>
    <row r="157" spans="1:13" x14ac:dyDescent="0.2">
      <c r="A157">
        <v>0</v>
      </c>
      <c r="B157" s="12" t="s">
        <v>2613</v>
      </c>
      <c r="C157" s="8" t="s">
        <v>2579</v>
      </c>
      <c r="D157" s="1">
        <v>8099135220</v>
      </c>
      <c r="E157" s="11" t="s">
        <v>393</v>
      </c>
      <c r="F157" s="11" t="s">
        <v>181</v>
      </c>
      <c r="G157" s="11" t="s">
        <v>175</v>
      </c>
      <c r="H157" s="11" t="s">
        <v>176</v>
      </c>
      <c r="I157" s="8" t="s">
        <v>177</v>
      </c>
      <c r="J157" s="12" t="s">
        <v>2572</v>
      </c>
      <c r="K157" t="b">
        <v>1</v>
      </c>
      <c r="L157" s="10">
        <v>44509</v>
      </c>
      <c r="M157"/>
    </row>
    <row r="158" spans="1:13" x14ac:dyDescent="0.2">
      <c r="A158">
        <v>0</v>
      </c>
      <c r="B158" s="12" t="s">
        <v>2474</v>
      </c>
      <c r="C158" s="8" t="s">
        <v>2495</v>
      </c>
      <c r="D158" s="1">
        <v>8293656680</v>
      </c>
      <c r="E158" s="11" t="s">
        <v>182</v>
      </c>
      <c r="F158" s="11" t="s">
        <v>181</v>
      </c>
      <c r="G158" s="11" t="s">
        <v>175</v>
      </c>
      <c r="H158" s="11" t="s">
        <v>176</v>
      </c>
      <c r="I158" s="8" t="s">
        <v>177</v>
      </c>
      <c r="J158" s="12" t="s">
        <v>2477</v>
      </c>
      <c r="K158" t="b">
        <v>1</v>
      </c>
      <c r="L158" s="10">
        <v>44473</v>
      </c>
      <c r="M158"/>
    </row>
    <row r="159" spans="1:13" x14ac:dyDescent="0.2">
      <c r="A159">
        <v>0</v>
      </c>
      <c r="B159" s="12" t="s">
        <v>1103</v>
      </c>
      <c r="C159" s="8" t="s">
        <v>1326</v>
      </c>
      <c r="D159" s="1">
        <v>8299379230</v>
      </c>
      <c r="E159" s="11" t="s">
        <v>182</v>
      </c>
      <c r="F159" s="11" t="s">
        <v>181</v>
      </c>
      <c r="G159" s="11" t="s">
        <v>175</v>
      </c>
      <c r="H159" s="11" t="s">
        <v>282</v>
      </c>
      <c r="I159" s="8" t="s">
        <v>177</v>
      </c>
      <c r="J159" s="12" t="s">
        <v>1106</v>
      </c>
      <c r="K159" t="b">
        <v>1</v>
      </c>
      <c r="L159" s="10">
        <v>44432</v>
      </c>
      <c r="M159"/>
    </row>
    <row r="160" spans="1:13" x14ac:dyDescent="0.2">
      <c r="A160">
        <v>0</v>
      </c>
      <c r="B160" s="12" t="s">
        <v>335</v>
      </c>
      <c r="C160" s="8" t="s">
        <v>1199</v>
      </c>
      <c r="D160" s="1">
        <v>8094063005</v>
      </c>
      <c r="E160" s="11" t="s">
        <v>182</v>
      </c>
      <c r="F160" s="11" t="s">
        <v>181</v>
      </c>
      <c r="G160" s="11" t="s">
        <v>160</v>
      </c>
      <c r="H160" s="11" t="s">
        <v>201</v>
      </c>
      <c r="I160" s="8" t="s">
        <v>160</v>
      </c>
      <c r="J160" s="12" t="s">
        <v>201</v>
      </c>
      <c r="K160" t="b">
        <v>1</v>
      </c>
      <c r="L160" s="10">
        <v>44253</v>
      </c>
      <c r="M160"/>
    </row>
    <row r="161" spans="1:13" x14ac:dyDescent="0.2">
      <c r="A161">
        <v>0</v>
      </c>
      <c r="B161" s="12" t="s">
        <v>899</v>
      </c>
      <c r="C161" s="8" t="s">
        <v>1289</v>
      </c>
      <c r="D161" s="1">
        <v>8297171763</v>
      </c>
      <c r="E161" s="11" t="s">
        <v>393</v>
      </c>
      <c r="F161" s="11" t="s">
        <v>181</v>
      </c>
      <c r="G161" s="11" t="s">
        <v>175</v>
      </c>
      <c r="H161" s="11" t="s">
        <v>176</v>
      </c>
      <c r="I161" s="8" t="s">
        <v>177</v>
      </c>
      <c r="J161" s="12" t="s">
        <v>902</v>
      </c>
      <c r="K161" t="b">
        <v>1</v>
      </c>
      <c r="L161" s="10">
        <v>44383</v>
      </c>
      <c r="M161"/>
    </row>
    <row r="162" spans="1:13" x14ac:dyDescent="0.2">
      <c r="A162">
        <v>0</v>
      </c>
      <c r="B162" s="12" t="s">
        <v>340</v>
      </c>
      <c r="C162" s="8" t="s">
        <v>1200</v>
      </c>
      <c r="D162" s="1">
        <v>8094362800</v>
      </c>
      <c r="E162" s="11" t="s">
        <v>182</v>
      </c>
      <c r="F162" s="11" t="s">
        <v>181</v>
      </c>
      <c r="G162" s="11" t="s">
        <v>160</v>
      </c>
      <c r="H162" s="11" t="s">
        <v>201</v>
      </c>
      <c r="I162" s="8" t="s">
        <v>160</v>
      </c>
      <c r="J162" s="12" t="s">
        <v>201</v>
      </c>
      <c r="K162" t="b">
        <v>1</v>
      </c>
      <c r="L162" s="10">
        <v>44253</v>
      </c>
      <c r="M162"/>
    </row>
    <row r="163" spans="1:13" x14ac:dyDescent="0.2">
      <c r="A163">
        <v>0</v>
      </c>
      <c r="B163" s="12" t="s">
        <v>1019</v>
      </c>
      <c r="C163" s="8" t="s">
        <v>1309</v>
      </c>
      <c r="D163" s="1">
        <v>8097431951</v>
      </c>
      <c r="E163" s="11" t="s">
        <v>393</v>
      </c>
      <c r="F163" s="11" t="s">
        <v>181</v>
      </c>
      <c r="G163" s="11" t="s">
        <v>175</v>
      </c>
      <c r="H163" s="11" t="s">
        <v>176</v>
      </c>
      <c r="I163" s="8" t="s">
        <v>177</v>
      </c>
      <c r="J163" s="12" t="s">
        <v>1022</v>
      </c>
      <c r="K163" t="b">
        <v>1</v>
      </c>
      <c r="L163" s="10">
        <v>44419</v>
      </c>
      <c r="M163"/>
    </row>
    <row r="164" spans="1:13" x14ac:dyDescent="0.2">
      <c r="A164">
        <v>0</v>
      </c>
      <c r="B164" s="12" t="s">
        <v>621</v>
      </c>
      <c r="C164" s="8" t="s">
        <v>1243</v>
      </c>
      <c r="D164" s="1">
        <v>8292735474</v>
      </c>
      <c r="E164" s="11" t="s">
        <v>182</v>
      </c>
      <c r="F164" s="11" t="s">
        <v>181</v>
      </c>
      <c r="G164" s="11" t="s">
        <v>175</v>
      </c>
      <c r="H164" s="11" t="s">
        <v>176</v>
      </c>
      <c r="I164" s="8" t="s">
        <v>177</v>
      </c>
      <c r="J164" s="12" t="s">
        <v>624</v>
      </c>
      <c r="K164" t="b">
        <v>1</v>
      </c>
      <c r="L164" s="10">
        <v>44334</v>
      </c>
      <c r="M164"/>
    </row>
    <row r="165" spans="1:13" x14ac:dyDescent="0.2">
      <c r="A165">
        <v>0</v>
      </c>
      <c r="B165" s="12" t="s">
        <v>1088</v>
      </c>
      <c r="C165" s="8" t="s">
        <v>1322</v>
      </c>
      <c r="D165" s="1">
        <v>8298014566</v>
      </c>
      <c r="E165" s="11" t="s">
        <v>182</v>
      </c>
      <c r="F165" s="11" t="s">
        <v>181</v>
      </c>
      <c r="G165" s="11" t="s">
        <v>175</v>
      </c>
      <c r="H165" s="11" t="s">
        <v>176</v>
      </c>
      <c r="I165" s="8" t="s">
        <v>177</v>
      </c>
      <c r="J165" s="12" t="s">
        <v>1091</v>
      </c>
      <c r="K165" t="b">
        <v>1</v>
      </c>
      <c r="L165" s="10">
        <v>44432</v>
      </c>
      <c r="M165"/>
    </row>
    <row r="166" spans="1:13" x14ac:dyDescent="0.2">
      <c r="A166">
        <v>0</v>
      </c>
      <c r="B166" s="12" t="s">
        <v>2463</v>
      </c>
      <c r="C166" s="8" t="s">
        <v>2496</v>
      </c>
      <c r="D166" s="1">
        <v>8093048850</v>
      </c>
      <c r="E166" s="11" t="s">
        <v>393</v>
      </c>
      <c r="F166" s="11" t="s">
        <v>181</v>
      </c>
      <c r="G166" s="11" t="s">
        <v>175</v>
      </c>
      <c r="H166" s="11" t="s">
        <v>161</v>
      </c>
      <c r="I166" s="8" t="s">
        <v>177</v>
      </c>
      <c r="J166" s="12" t="s">
        <v>2466</v>
      </c>
      <c r="K166" t="b">
        <v>1</v>
      </c>
      <c r="L166" s="10">
        <v>44487</v>
      </c>
      <c r="M166"/>
    </row>
    <row r="167" spans="1:13" x14ac:dyDescent="0.2">
      <c r="A167">
        <v>0</v>
      </c>
      <c r="B167" s="12" t="s">
        <v>868</v>
      </c>
      <c r="C167" s="8" t="s">
        <v>1283</v>
      </c>
      <c r="D167" s="1">
        <v>8292097574</v>
      </c>
      <c r="E167" s="11" t="s">
        <v>393</v>
      </c>
      <c r="F167" s="11" t="s">
        <v>181</v>
      </c>
      <c r="G167" s="11" t="s">
        <v>175</v>
      </c>
      <c r="H167" s="11" t="s">
        <v>176</v>
      </c>
      <c r="I167" s="8" t="s">
        <v>177</v>
      </c>
      <c r="J167" s="12" t="s">
        <v>871</v>
      </c>
      <c r="K167" t="b">
        <v>1</v>
      </c>
      <c r="L167" s="10">
        <v>44368</v>
      </c>
      <c r="M167"/>
    </row>
    <row r="168" spans="1:13" x14ac:dyDescent="0.2">
      <c r="A168">
        <v>0</v>
      </c>
      <c r="B168" s="12" t="s">
        <v>1048</v>
      </c>
      <c r="C168" s="8" t="s">
        <v>1314</v>
      </c>
      <c r="D168" s="1">
        <v>8098838257</v>
      </c>
      <c r="E168" s="11" t="s">
        <v>393</v>
      </c>
      <c r="F168" s="11" t="s">
        <v>181</v>
      </c>
      <c r="G168" s="11" t="s">
        <v>175</v>
      </c>
      <c r="H168" s="11" t="s">
        <v>176</v>
      </c>
      <c r="I168" s="8" t="s">
        <v>177</v>
      </c>
      <c r="J168" s="12" t="s">
        <v>1051</v>
      </c>
      <c r="K168" t="b">
        <v>1</v>
      </c>
      <c r="L168" s="10">
        <v>44422</v>
      </c>
      <c r="M168"/>
    </row>
    <row r="169" spans="1:13" x14ac:dyDescent="0.2">
      <c r="A169">
        <v>0</v>
      </c>
      <c r="B169" s="12" t="s">
        <v>345</v>
      </c>
      <c r="C169" s="8" t="s">
        <v>1201</v>
      </c>
      <c r="D169" s="1">
        <v>8099804615</v>
      </c>
      <c r="E169" s="11" t="s">
        <v>182</v>
      </c>
      <c r="F169" s="11" t="s">
        <v>181</v>
      </c>
      <c r="G169" s="11" t="s">
        <v>175</v>
      </c>
      <c r="H169" s="11" t="s">
        <v>161</v>
      </c>
      <c r="I169" s="8" t="s">
        <v>177</v>
      </c>
      <c r="J169" s="12" t="s">
        <v>348</v>
      </c>
      <c r="K169" t="b">
        <v>1</v>
      </c>
      <c r="L169" s="10">
        <v>44253</v>
      </c>
      <c r="M169"/>
    </row>
    <row r="170" spans="1:13" x14ac:dyDescent="0.2">
      <c r="A170">
        <v>0</v>
      </c>
      <c r="B170" s="12" t="s">
        <v>666</v>
      </c>
      <c r="C170" s="8" t="s">
        <v>1250</v>
      </c>
      <c r="D170" s="1">
        <v>8498690608</v>
      </c>
      <c r="E170" s="11" t="s">
        <v>182</v>
      </c>
      <c r="F170" s="11" t="s">
        <v>181</v>
      </c>
      <c r="G170" s="11" t="s">
        <v>160</v>
      </c>
      <c r="H170" s="11" t="s">
        <v>201</v>
      </c>
      <c r="I170" s="8" t="s">
        <v>160</v>
      </c>
      <c r="K170" t="b">
        <v>1</v>
      </c>
      <c r="L170" s="10">
        <v>44358</v>
      </c>
      <c r="M170"/>
    </row>
    <row r="171" spans="1:13" x14ac:dyDescent="0.2">
      <c r="A171">
        <v>0</v>
      </c>
      <c r="B171" s="12" t="s">
        <v>1116</v>
      </c>
      <c r="C171" s="8" t="s">
        <v>1329</v>
      </c>
      <c r="D171" s="1">
        <v>8098600881</v>
      </c>
      <c r="E171" s="11" t="s">
        <v>182</v>
      </c>
      <c r="F171" s="11" t="s">
        <v>181</v>
      </c>
      <c r="G171" s="11" t="s">
        <v>587</v>
      </c>
      <c r="H171" s="11" t="s">
        <v>587</v>
      </c>
      <c r="I171" s="8" t="s">
        <v>587</v>
      </c>
      <c r="K171" t="b">
        <v>1</v>
      </c>
      <c r="L171" s="10">
        <v>44454</v>
      </c>
      <c r="M171"/>
    </row>
    <row r="172" spans="1:13" x14ac:dyDescent="0.2">
      <c r="A172">
        <v>0</v>
      </c>
      <c r="B172" s="12" t="s">
        <v>351</v>
      </c>
      <c r="C172" s="8" t="s">
        <v>1202</v>
      </c>
      <c r="D172" s="1">
        <v>8297223218</v>
      </c>
      <c r="E172" s="11" t="s">
        <v>182</v>
      </c>
      <c r="F172" s="11" t="s">
        <v>181</v>
      </c>
      <c r="G172" s="11" t="s">
        <v>175</v>
      </c>
      <c r="H172" s="11" t="s">
        <v>176</v>
      </c>
      <c r="I172" s="8" t="s">
        <v>177</v>
      </c>
      <c r="J172" s="12" t="s">
        <v>354</v>
      </c>
      <c r="K172" t="b">
        <v>1</v>
      </c>
      <c r="L172" s="10">
        <v>44253</v>
      </c>
      <c r="M172"/>
    </row>
    <row r="173" spans="1:13" x14ac:dyDescent="0.2">
      <c r="A173">
        <v>0</v>
      </c>
      <c r="B173" s="12" t="s">
        <v>2390</v>
      </c>
      <c r="C173" s="8" t="s">
        <v>2395</v>
      </c>
      <c r="D173" s="1">
        <v>8092254108</v>
      </c>
      <c r="E173" s="11" t="s">
        <v>182</v>
      </c>
      <c r="F173" s="11" t="s">
        <v>181</v>
      </c>
      <c r="G173" s="11" t="s">
        <v>175</v>
      </c>
      <c r="H173" s="11" t="s">
        <v>176</v>
      </c>
      <c r="I173" s="8" t="s">
        <v>177</v>
      </c>
      <c r="J173" s="12" t="s">
        <v>2393</v>
      </c>
      <c r="K173" t="b">
        <v>1</v>
      </c>
      <c r="L173" s="10">
        <v>44482</v>
      </c>
      <c r="M173"/>
    </row>
    <row r="174" spans="1:13" x14ac:dyDescent="0.2">
      <c r="A174">
        <v>0</v>
      </c>
      <c r="B174" s="12" t="s">
        <v>2428</v>
      </c>
      <c r="C174" s="8" t="s">
        <v>2497</v>
      </c>
      <c r="D174" s="1">
        <v>8098751540</v>
      </c>
      <c r="E174" s="11" t="s">
        <v>386</v>
      </c>
      <c r="F174" s="11" t="s">
        <v>181</v>
      </c>
      <c r="G174" s="11" t="s">
        <v>175</v>
      </c>
      <c r="H174" s="11" t="s">
        <v>176</v>
      </c>
      <c r="I174" s="8" t="s">
        <v>177</v>
      </c>
      <c r="J174" s="12" t="s">
        <v>2431</v>
      </c>
      <c r="K174" t="b">
        <v>1</v>
      </c>
      <c r="L174" s="10">
        <v>44473</v>
      </c>
      <c r="M174"/>
    </row>
    <row r="175" spans="1:13" x14ac:dyDescent="0.2">
      <c r="A175">
        <v>0</v>
      </c>
      <c r="B175" s="12" t="s">
        <v>560</v>
      </c>
      <c r="C175" s="8" t="s">
        <v>1235</v>
      </c>
      <c r="D175" s="1">
        <v>8297736541</v>
      </c>
      <c r="E175" s="11" t="s">
        <v>393</v>
      </c>
      <c r="F175" s="11" t="s">
        <v>181</v>
      </c>
      <c r="G175" s="11" t="s">
        <v>175</v>
      </c>
      <c r="H175" s="11" t="s">
        <v>176</v>
      </c>
      <c r="I175" s="8" t="s">
        <v>177</v>
      </c>
      <c r="J175" s="12" t="s">
        <v>563</v>
      </c>
      <c r="K175" t="b">
        <v>1</v>
      </c>
      <c r="L175" s="10">
        <v>44314</v>
      </c>
      <c r="M175"/>
    </row>
    <row r="176" spans="1:13" x14ac:dyDescent="0.2">
      <c r="A176">
        <v>0</v>
      </c>
      <c r="B176" s="12" t="s">
        <v>2411</v>
      </c>
      <c r="C176" s="8" t="s">
        <v>2403</v>
      </c>
      <c r="D176" s="1">
        <v>8492625238</v>
      </c>
      <c r="E176" s="11" t="s">
        <v>393</v>
      </c>
      <c r="F176" s="11" t="s">
        <v>181</v>
      </c>
      <c r="G176" s="11" t="s">
        <v>175</v>
      </c>
      <c r="H176" s="11" t="s">
        <v>176</v>
      </c>
      <c r="I176" s="8" t="s">
        <v>177</v>
      </c>
      <c r="J176" s="12" t="s">
        <v>2402</v>
      </c>
      <c r="K176" t="b">
        <v>1</v>
      </c>
      <c r="L176" s="10">
        <v>44470</v>
      </c>
      <c r="M176"/>
    </row>
    <row r="177" spans="1:13" x14ac:dyDescent="0.2">
      <c r="A177">
        <v>0</v>
      </c>
      <c r="B177" s="12" t="s">
        <v>1030</v>
      </c>
      <c r="C177" s="8" t="s">
        <v>1311</v>
      </c>
      <c r="D177" s="1">
        <v>8096703824</v>
      </c>
      <c r="E177" s="11" t="s">
        <v>182</v>
      </c>
      <c r="F177" s="11" t="s">
        <v>181</v>
      </c>
      <c r="G177" s="11" t="s">
        <v>175</v>
      </c>
      <c r="H177" s="11" t="s">
        <v>282</v>
      </c>
      <c r="I177" s="8" t="s">
        <v>177</v>
      </c>
      <c r="J177" s="12" t="s">
        <v>1033</v>
      </c>
      <c r="K177" t="b">
        <v>1</v>
      </c>
      <c r="L177" s="10">
        <v>44417</v>
      </c>
      <c r="M177"/>
    </row>
    <row r="178" spans="1:13" x14ac:dyDescent="0.2">
      <c r="A178">
        <v>0</v>
      </c>
      <c r="B178" s="12" t="s">
        <v>999</v>
      </c>
      <c r="C178" s="8" t="s">
        <v>1306</v>
      </c>
      <c r="D178" s="1">
        <v>8299064529</v>
      </c>
      <c r="E178" s="11" t="s">
        <v>182</v>
      </c>
      <c r="F178" s="11" t="s">
        <v>181</v>
      </c>
      <c r="G178" s="11" t="s">
        <v>175</v>
      </c>
      <c r="H178" s="11" t="s">
        <v>176</v>
      </c>
      <c r="I178" s="8" t="s">
        <v>177</v>
      </c>
      <c r="J178" s="12" t="s">
        <v>1002</v>
      </c>
      <c r="K178" t="b">
        <v>1</v>
      </c>
      <c r="L178" s="10">
        <v>44408</v>
      </c>
      <c r="M178"/>
    </row>
    <row r="179" spans="1:13" x14ac:dyDescent="0.2">
      <c r="A179">
        <v>0</v>
      </c>
      <c r="B179" s="12" t="s">
        <v>357</v>
      </c>
      <c r="C179" s="8" t="s">
        <v>1203</v>
      </c>
      <c r="D179" s="1">
        <v>8492549261</v>
      </c>
      <c r="E179" s="11" t="s">
        <v>182</v>
      </c>
      <c r="F179" s="11" t="s">
        <v>181</v>
      </c>
      <c r="G179" s="11" t="s">
        <v>175</v>
      </c>
      <c r="H179" s="11" t="s">
        <v>176</v>
      </c>
      <c r="I179" s="8" t="s">
        <v>177</v>
      </c>
      <c r="J179" s="12" t="s">
        <v>360</v>
      </c>
      <c r="K179" t="b">
        <v>1</v>
      </c>
      <c r="L179" s="10">
        <v>44253</v>
      </c>
      <c r="M179"/>
    </row>
    <row r="180" spans="1:13" x14ac:dyDescent="0.2">
      <c r="A180">
        <v>0</v>
      </c>
      <c r="B180" s="12" t="s">
        <v>1120</v>
      </c>
      <c r="C180" s="8" t="s">
        <v>1330</v>
      </c>
      <c r="D180" s="1">
        <v>8098703310</v>
      </c>
      <c r="E180" s="11" t="s">
        <v>393</v>
      </c>
      <c r="F180" s="11" t="s">
        <v>181</v>
      </c>
      <c r="G180" s="11" t="s">
        <v>160</v>
      </c>
      <c r="H180" s="11" t="s">
        <v>201</v>
      </c>
      <c r="I180" s="8" t="s">
        <v>160</v>
      </c>
      <c r="K180" t="b">
        <v>1</v>
      </c>
      <c r="L180" s="10">
        <v>44445</v>
      </c>
      <c r="M180"/>
    </row>
    <row r="181" spans="1:13" x14ac:dyDescent="0.2">
      <c r="A181">
        <v>0</v>
      </c>
      <c r="B181" s="12" t="s">
        <v>982</v>
      </c>
      <c r="C181" s="8" t="s">
        <v>1303</v>
      </c>
      <c r="D181" s="1">
        <v>8095466830</v>
      </c>
      <c r="E181" s="11" t="s">
        <v>393</v>
      </c>
      <c r="F181" s="11" t="s">
        <v>181</v>
      </c>
      <c r="G181" s="11" t="s">
        <v>175</v>
      </c>
      <c r="H181" s="11" t="s">
        <v>176</v>
      </c>
      <c r="I181" s="8" t="s">
        <v>177</v>
      </c>
      <c r="J181" s="12" t="s">
        <v>985</v>
      </c>
      <c r="K181" t="b">
        <v>1</v>
      </c>
      <c r="L181" s="10">
        <v>44403</v>
      </c>
      <c r="M181"/>
    </row>
    <row r="182" spans="1:13" x14ac:dyDescent="0.2">
      <c r="A182">
        <v>0</v>
      </c>
      <c r="B182" s="12" t="s">
        <v>2573</v>
      </c>
      <c r="C182" s="8" t="s">
        <v>2580</v>
      </c>
      <c r="D182" s="1">
        <v>8298059226</v>
      </c>
      <c r="E182" s="11" t="s">
        <v>393</v>
      </c>
      <c r="F182" s="11" t="s">
        <v>181</v>
      </c>
      <c r="G182" s="11" t="s">
        <v>175</v>
      </c>
      <c r="H182" s="11" t="s">
        <v>176</v>
      </c>
      <c r="I182" s="8" t="s">
        <v>177</v>
      </c>
      <c r="J182" s="12" t="s">
        <v>2575</v>
      </c>
      <c r="K182" t="b">
        <v>1</v>
      </c>
      <c r="L182" s="10">
        <v>44501</v>
      </c>
      <c r="M182"/>
    </row>
    <row r="183" spans="1:13" x14ac:dyDescent="0.2">
      <c r="A183">
        <v>0</v>
      </c>
      <c r="B183" s="12" t="s">
        <v>363</v>
      </c>
      <c r="C183" s="8" t="s">
        <v>1204</v>
      </c>
      <c r="D183" s="1">
        <v>8097588721</v>
      </c>
      <c r="E183" s="11" t="s">
        <v>182</v>
      </c>
      <c r="F183" s="11" t="s">
        <v>181</v>
      </c>
      <c r="G183" s="11" t="s">
        <v>175</v>
      </c>
      <c r="H183" s="11" t="s">
        <v>176</v>
      </c>
      <c r="I183" s="8" t="s">
        <v>177</v>
      </c>
      <c r="J183" s="12" t="s">
        <v>366</v>
      </c>
      <c r="K183" t="b">
        <v>1</v>
      </c>
      <c r="L183" s="10">
        <v>44253</v>
      </c>
      <c r="M183"/>
    </row>
    <row r="184" spans="1:13" x14ac:dyDescent="0.2">
      <c r="A184">
        <v>0</v>
      </c>
      <c r="B184" s="12" t="s">
        <v>1675</v>
      </c>
      <c r="C184" s="8" t="s">
        <v>2498</v>
      </c>
      <c r="D184" s="1">
        <v>8299325400</v>
      </c>
      <c r="E184" s="11" t="s">
        <v>393</v>
      </c>
      <c r="F184" s="11" t="s">
        <v>181</v>
      </c>
      <c r="G184" s="11" t="s">
        <v>175</v>
      </c>
      <c r="H184" s="11" t="s">
        <v>282</v>
      </c>
      <c r="I184" s="8" t="s">
        <v>177</v>
      </c>
      <c r="J184" s="12" t="s">
        <v>2422</v>
      </c>
      <c r="K184" t="b">
        <v>1</v>
      </c>
      <c r="L184" s="10">
        <v>44473</v>
      </c>
      <c r="M184"/>
    </row>
    <row r="185" spans="1:13" x14ac:dyDescent="0.2">
      <c r="A185">
        <v>0</v>
      </c>
      <c r="B185" s="12" t="s">
        <v>2586</v>
      </c>
      <c r="C185" s="8" t="s">
        <v>2593</v>
      </c>
      <c r="D185" s="1">
        <v>8297189592</v>
      </c>
      <c r="E185" s="11" t="s">
        <v>393</v>
      </c>
      <c r="F185" s="11" t="s">
        <v>181</v>
      </c>
      <c r="G185" s="11" t="s">
        <v>175</v>
      </c>
      <c r="H185" s="11" t="s">
        <v>176</v>
      </c>
      <c r="I185" s="8" t="s">
        <v>177</v>
      </c>
      <c r="J185" s="12" t="s">
        <v>2588</v>
      </c>
      <c r="K185" t="b">
        <v>1</v>
      </c>
      <c r="L185" s="10">
        <v>44505</v>
      </c>
      <c r="M185"/>
    </row>
    <row r="186" spans="1:13" x14ac:dyDescent="0.2">
      <c r="A186">
        <v>0</v>
      </c>
      <c r="B186" s="12" t="s">
        <v>2445</v>
      </c>
      <c r="C186" s="8" t="s">
        <v>2499</v>
      </c>
      <c r="D186" s="1">
        <v>8299779428</v>
      </c>
      <c r="E186" s="11" t="s">
        <v>182</v>
      </c>
      <c r="F186" s="11" t="s">
        <v>181</v>
      </c>
      <c r="G186" s="11" t="s">
        <v>175</v>
      </c>
      <c r="H186" s="11" t="s">
        <v>176</v>
      </c>
      <c r="I186" s="8" t="s">
        <v>177</v>
      </c>
      <c r="J186" s="12" t="s">
        <v>2448</v>
      </c>
      <c r="K186" t="b">
        <v>1</v>
      </c>
      <c r="L186" s="10">
        <v>44487</v>
      </c>
      <c r="M186"/>
    </row>
    <row r="187" spans="1:13" x14ac:dyDescent="0.2">
      <c r="A187">
        <v>0</v>
      </c>
      <c r="B187" s="12" t="s">
        <v>909</v>
      </c>
      <c r="C187" s="8" t="s">
        <v>1290</v>
      </c>
      <c r="D187" s="1">
        <v>8492836362</v>
      </c>
      <c r="E187" s="11" t="s">
        <v>182</v>
      </c>
      <c r="F187" s="11" t="s">
        <v>181</v>
      </c>
      <c r="G187" s="11" t="s">
        <v>175</v>
      </c>
      <c r="H187" s="11" t="s">
        <v>176</v>
      </c>
      <c r="I187" s="8" t="s">
        <v>177</v>
      </c>
      <c r="J187" s="12" t="s">
        <v>912</v>
      </c>
      <c r="K187" t="b">
        <v>1</v>
      </c>
      <c r="L187" s="10">
        <v>44387</v>
      </c>
      <c r="M187"/>
    </row>
    <row r="188" spans="1:13" x14ac:dyDescent="0.2">
      <c r="A188">
        <v>0</v>
      </c>
      <c r="B188" s="12" t="s">
        <v>894</v>
      </c>
      <c r="C188" s="8" t="s">
        <v>1288</v>
      </c>
      <c r="D188" s="1">
        <v>8094511825</v>
      </c>
      <c r="E188" s="11" t="s">
        <v>182</v>
      </c>
      <c r="F188" s="11" t="s">
        <v>181</v>
      </c>
      <c r="G188" s="11" t="s">
        <v>175</v>
      </c>
      <c r="H188" s="11" t="s">
        <v>176</v>
      </c>
      <c r="I188" s="8" t="s">
        <v>177</v>
      </c>
      <c r="J188" s="12" t="s">
        <v>897</v>
      </c>
      <c r="K188" t="b">
        <v>1</v>
      </c>
      <c r="L188" s="10">
        <v>44379</v>
      </c>
      <c r="M188"/>
    </row>
    <row r="189" spans="1:13" x14ac:dyDescent="0.2">
      <c r="A189">
        <v>0</v>
      </c>
      <c r="B189" s="12" t="s">
        <v>1053</v>
      </c>
      <c r="C189" s="8" t="s">
        <v>1315</v>
      </c>
      <c r="D189" s="1">
        <v>8297026022</v>
      </c>
      <c r="E189" s="11" t="s">
        <v>393</v>
      </c>
      <c r="F189" s="11" t="s">
        <v>181</v>
      </c>
      <c r="G189" s="11" t="s">
        <v>175</v>
      </c>
      <c r="H189" s="11" t="s">
        <v>282</v>
      </c>
      <c r="I189" s="8" t="s">
        <v>177</v>
      </c>
      <c r="J189" s="12" t="s">
        <v>1056</v>
      </c>
      <c r="K189" t="b">
        <v>1</v>
      </c>
      <c r="L189" s="10">
        <v>44418</v>
      </c>
      <c r="M189"/>
    </row>
    <row r="190" spans="1:13" x14ac:dyDescent="0.2">
      <c r="A190">
        <v>0</v>
      </c>
      <c r="B190" s="12" t="s">
        <v>1096</v>
      </c>
      <c r="C190" s="8" t="s">
        <v>1324</v>
      </c>
      <c r="D190" s="1">
        <v>8498762490</v>
      </c>
      <c r="E190" s="11" t="s">
        <v>393</v>
      </c>
      <c r="F190" s="11" t="s">
        <v>181</v>
      </c>
      <c r="G190" s="11" t="s">
        <v>175</v>
      </c>
      <c r="H190" s="11" t="s">
        <v>282</v>
      </c>
      <c r="I190" s="8" t="s">
        <v>177</v>
      </c>
      <c r="J190" s="12" t="s">
        <v>1099</v>
      </c>
      <c r="K190" t="b">
        <v>1</v>
      </c>
      <c r="L190" s="10">
        <v>44438</v>
      </c>
      <c r="M190"/>
    </row>
    <row r="191" spans="1:13" x14ac:dyDescent="0.2">
      <c r="A191">
        <v>0</v>
      </c>
      <c r="B191" s="12" t="s">
        <v>528</v>
      </c>
      <c r="C191" s="8" t="s">
        <v>1231</v>
      </c>
      <c r="D191" s="1">
        <v>8298915905</v>
      </c>
      <c r="E191" s="11" t="s">
        <v>393</v>
      </c>
      <c r="F191" s="11" t="s">
        <v>181</v>
      </c>
      <c r="G191" s="11" t="s">
        <v>175</v>
      </c>
      <c r="H191" s="11" t="s">
        <v>176</v>
      </c>
      <c r="I191" s="8" t="s">
        <v>177</v>
      </c>
      <c r="J191" s="12" t="s">
        <v>531</v>
      </c>
      <c r="K191" t="b">
        <v>1</v>
      </c>
      <c r="L191" s="10">
        <v>44253</v>
      </c>
      <c r="M191"/>
    </row>
    <row r="192" spans="1:13" x14ac:dyDescent="0.2">
      <c r="A192">
        <v>0</v>
      </c>
      <c r="B192" s="12" t="s">
        <v>369</v>
      </c>
      <c r="C192" s="8" t="s">
        <v>1205</v>
      </c>
      <c r="D192" s="1">
        <v>8096746157</v>
      </c>
      <c r="E192" s="11" t="s">
        <v>182</v>
      </c>
      <c r="F192" s="11" t="s">
        <v>181</v>
      </c>
      <c r="G192" s="11" t="s">
        <v>160</v>
      </c>
      <c r="H192" s="11" t="s">
        <v>201</v>
      </c>
      <c r="I192" s="8" t="s">
        <v>160</v>
      </c>
      <c r="J192" s="12" t="s">
        <v>201</v>
      </c>
      <c r="K192" t="b">
        <v>1</v>
      </c>
      <c r="L192" s="10">
        <v>44253</v>
      </c>
      <c r="M192"/>
    </row>
    <row r="193" spans="1:13" x14ac:dyDescent="0.2">
      <c r="A193">
        <v>0</v>
      </c>
      <c r="B193" s="12" t="s">
        <v>684</v>
      </c>
      <c r="C193" s="8" t="s">
        <v>1255</v>
      </c>
      <c r="D193" s="1">
        <v>8298743343</v>
      </c>
      <c r="E193" s="11" t="s">
        <v>182</v>
      </c>
      <c r="F193" s="11" t="s">
        <v>181</v>
      </c>
      <c r="G193" s="11" t="s">
        <v>587</v>
      </c>
      <c r="H193" s="11" t="s">
        <v>587</v>
      </c>
      <c r="I193" s="8" t="s">
        <v>587</v>
      </c>
      <c r="K193" t="b">
        <v>1</v>
      </c>
      <c r="L193" s="10">
        <v>44358</v>
      </c>
      <c r="M193"/>
    </row>
    <row r="194" spans="1:13" x14ac:dyDescent="0.2">
      <c r="A194">
        <v>0</v>
      </c>
      <c r="B194" s="12" t="s">
        <v>2450</v>
      </c>
      <c r="C194" s="8" t="s">
        <v>2500</v>
      </c>
      <c r="D194" s="1">
        <v>8299019038</v>
      </c>
      <c r="E194" s="11" t="s">
        <v>182</v>
      </c>
      <c r="F194" s="11" t="s">
        <v>181</v>
      </c>
      <c r="G194" s="11" t="s">
        <v>175</v>
      </c>
      <c r="H194" s="11" t="s">
        <v>176</v>
      </c>
      <c r="I194" s="8" t="s">
        <v>177</v>
      </c>
      <c r="J194" s="12" t="s">
        <v>2453</v>
      </c>
      <c r="K194" t="b">
        <v>1</v>
      </c>
      <c r="L194" s="10">
        <v>44472</v>
      </c>
      <c r="M194"/>
    </row>
    <row r="195" spans="1:13" x14ac:dyDescent="0.2">
      <c r="A195">
        <v>0</v>
      </c>
      <c r="B195" s="12" t="s">
        <v>924</v>
      </c>
      <c r="C195" s="8" t="s">
        <v>1293</v>
      </c>
      <c r="D195" s="1">
        <v>8296869643</v>
      </c>
      <c r="E195" s="11" t="s">
        <v>182</v>
      </c>
      <c r="F195" s="11" t="s">
        <v>181</v>
      </c>
      <c r="G195" s="11" t="s">
        <v>175</v>
      </c>
      <c r="H195" s="11" t="s">
        <v>176</v>
      </c>
      <c r="I195" s="8" t="s">
        <v>177</v>
      </c>
      <c r="J195" s="12" t="s">
        <v>927</v>
      </c>
      <c r="K195" t="b">
        <v>1</v>
      </c>
      <c r="L195" s="10">
        <v>44389</v>
      </c>
      <c r="M195"/>
    </row>
    <row r="196" spans="1:13" x14ac:dyDescent="0.2">
      <c r="A196">
        <v>0</v>
      </c>
      <c r="B196" s="12" t="s">
        <v>2386</v>
      </c>
      <c r="C196" s="8" t="s">
        <v>2396</v>
      </c>
      <c r="D196" s="1">
        <v>8097073277</v>
      </c>
      <c r="E196" s="11" t="s">
        <v>393</v>
      </c>
      <c r="F196" s="11" t="s">
        <v>181</v>
      </c>
      <c r="G196" s="11" t="s">
        <v>175</v>
      </c>
      <c r="H196" s="11" t="s">
        <v>176</v>
      </c>
      <c r="I196" s="8" t="s">
        <v>177</v>
      </c>
      <c r="J196" s="12" t="s">
        <v>2389</v>
      </c>
      <c r="K196" t="b">
        <v>1</v>
      </c>
      <c r="L196" s="10">
        <v>44482</v>
      </c>
      <c r="M196"/>
    </row>
    <row r="197" spans="1:13" x14ac:dyDescent="0.2">
      <c r="A197">
        <v>0</v>
      </c>
      <c r="B197" s="12" t="s">
        <v>969</v>
      </c>
      <c r="C197" s="8" t="s">
        <v>1301</v>
      </c>
      <c r="D197" s="1">
        <v>8094473246</v>
      </c>
      <c r="E197" s="11" t="s">
        <v>182</v>
      </c>
      <c r="F197" s="11" t="s">
        <v>181</v>
      </c>
      <c r="G197" s="11" t="s">
        <v>175</v>
      </c>
      <c r="H197" s="11" t="s">
        <v>176</v>
      </c>
      <c r="I197" s="8" t="s">
        <v>177</v>
      </c>
      <c r="J197" s="12" t="s">
        <v>972</v>
      </c>
      <c r="K197" t="b">
        <v>1</v>
      </c>
      <c r="L197" s="10">
        <v>44397</v>
      </c>
      <c r="M197"/>
    </row>
    <row r="198" spans="1:13" x14ac:dyDescent="0.2">
      <c r="A198">
        <v>0</v>
      </c>
      <c r="B198" s="12" t="s">
        <v>374</v>
      </c>
      <c r="C198" s="8" t="s">
        <v>1206</v>
      </c>
      <c r="D198" s="1">
        <v>8296606855</v>
      </c>
      <c r="E198" s="11" t="s">
        <v>182</v>
      </c>
      <c r="F198" s="11" t="s">
        <v>181</v>
      </c>
      <c r="G198" s="11" t="s">
        <v>175</v>
      </c>
      <c r="H198" s="11" t="s">
        <v>176</v>
      </c>
      <c r="I198" s="8" t="s">
        <v>177</v>
      </c>
      <c r="J198" s="12" t="s">
        <v>377</v>
      </c>
      <c r="K198" t="b">
        <v>1</v>
      </c>
      <c r="L198" s="10">
        <v>44253</v>
      </c>
      <c r="M198"/>
    </row>
    <row r="199" spans="1:13" x14ac:dyDescent="0.2">
      <c r="A199">
        <v>0</v>
      </c>
      <c r="B199" s="12" t="s">
        <v>2594</v>
      </c>
      <c r="C199" s="8" t="s">
        <v>2598</v>
      </c>
      <c r="D199" s="1">
        <v>8292702041</v>
      </c>
      <c r="E199" s="11" t="s">
        <v>182</v>
      </c>
      <c r="F199" s="11" t="s">
        <v>181</v>
      </c>
      <c r="G199" s="11" t="s">
        <v>160</v>
      </c>
      <c r="H199" s="11" t="s">
        <v>201</v>
      </c>
      <c r="I199" s="8" t="s">
        <v>160</v>
      </c>
      <c r="J199" s="12" t="s">
        <v>160</v>
      </c>
      <c r="K199" t="b">
        <v>1</v>
      </c>
      <c r="L199" s="10">
        <v>44508</v>
      </c>
    </row>
    <row r="200" spans="1:13" x14ac:dyDescent="0.2">
      <c r="A200">
        <v>0</v>
      </c>
      <c r="B200" s="12" t="s">
        <v>975</v>
      </c>
      <c r="C200" s="8" t="s">
        <v>1302</v>
      </c>
      <c r="D200" s="1">
        <v>8093157643</v>
      </c>
      <c r="E200" s="11" t="s">
        <v>393</v>
      </c>
      <c r="F200" s="11" t="s">
        <v>181</v>
      </c>
      <c r="G200" s="11" t="s">
        <v>175</v>
      </c>
      <c r="H200" s="11" t="s">
        <v>978</v>
      </c>
      <c r="I200" s="8" t="s">
        <v>177</v>
      </c>
      <c r="J200" s="12" t="s">
        <v>979</v>
      </c>
      <c r="K200" t="b">
        <v>1</v>
      </c>
      <c r="L200" s="10">
        <v>44402</v>
      </c>
    </row>
    <row r="201" spans="1:13" x14ac:dyDescent="0.2">
      <c r="A201">
        <v>0</v>
      </c>
      <c r="B201" s="12" t="s">
        <v>534</v>
      </c>
      <c r="C201" s="8" t="s">
        <v>1232</v>
      </c>
      <c r="D201" s="1">
        <v>8092549162</v>
      </c>
      <c r="E201" s="11" t="s">
        <v>393</v>
      </c>
      <c r="F201" s="11" t="s">
        <v>181</v>
      </c>
      <c r="G201" s="11" t="s">
        <v>175</v>
      </c>
      <c r="H201" s="11" t="s">
        <v>161</v>
      </c>
      <c r="I201" s="8" t="s">
        <v>177</v>
      </c>
      <c r="J201" s="12" t="s">
        <v>537</v>
      </c>
      <c r="K201" t="b">
        <v>1</v>
      </c>
      <c r="L201" s="10">
        <v>44253</v>
      </c>
    </row>
    <row r="202" spans="1:13" x14ac:dyDescent="0.2">
      <c r="A202">
        <v>0</v>
      </c>
      <c r="B202" s="12" t="s">
        <v>2416</v>
      </c>
      <c r="C202" s="8" t="s">
        <v>2501</v>
      </c>
      <c r="D202" s="1">
        <v>8298587719</v>
      </c>
      <c r="E202" s="11" t="s">
        <v>182</v>
      </c>
      <c r="F202" s="11" t="s">
        <v>181</v>
      </c>
      <c r="G202" s="11" t="s">
        <v>175</v>
      </c>
      <c r="H202" s="11" t="s">
        <v>201</v>
      </c>
      <c r="I202" s="8" t="s">
        <v>177</v>
      </c>
      <c r="J202" s="12" t="s">
        <v>2419</v>
      </c>
      <c r="K202" t="b">
        <v>1</v>
      </c>
      <c r="L202" s="10">
        <v>44481</v>
      </c>
    </row>
    <row r="203" spans="1:13" x14ac:dyDescent="0.2">
      <c r="A203">
        <v>0</v>
      </c>
      <c r="B203" s="12" t="s">
        <v>2576</v>
      </c>
      <c r="C203" s="8" t="s">
        <v>2581</v>
      </c>
      <c r="D203" s="1">
        <v>8294660083</v>
      </c>
      <c r="E203" s="11" t="s">
        <v>393</v>
      </c>
      <c r="F203" s="11" t="s">
        <v>181</v>
      </c>
      <c r="G203" s="11" t="s">
        <v>175</v>
      </c>
      <c r="H203" s="11" t="s">
        <v>161</v>
      </c>
      <c r="I203" s="8" t="s">
        <v>177</v>
      </c>
      <c r="J203" s="12" t="s">
        <v>2578</v>
      </c>
      <c r="K203" t="b">
        <v>1</v>
      </c>
      <c r="L203" s="10">
        <v>44501</v>
      </c>
    </row>
    <row r="204" spans="1:13" x14ac:dyDescent="0.2">
      <c r="A204">
        <v>0</v>
      </c>
      <c r="B204" s="12" t="s">
        <v>1129</v>
      </c>
      <c r="C204" s="8" t="s">
        <v>1332</v>
      </c>
      <c r="D204" s="1">
        <v>8294568357</v>
      </c>
      <c r="E204" s="11" t="s">
        <v>393</v>
      </c>
      <c r="F204" s="11" t="s">
        <v>181</v>
      </c>
      <c r="G204" s="11" t="s">
        <v>175</v>
      </c>
      <c r="H204" s="11" t="s">
        <v>161</v>
      </c>
      <c r="I204" s="8" t="s">
        <v>162</v>
      </c>
      <c r="J204" s="12" t="s">
        <v>1132</v>
      </c>
      <c r="K204" t="b">
        <v>1</v>
      </c>
      <c r="L204" s="10">
        <v>44445</v>
      </c>
    </row>
    <row r="205" spans="1:13" x14ac:dyDescent="0.2">
      <c r="A205">
        <v>0</v>
      </c>
      <c r="B205" s="12" t="s">
        <v>954</v>
      </c>
      <c r="C205" s="8" t="s">
        <v>1298</v>
      </c>
      <c r="D205" s="1">
        <v>8293074348</v>
      </c>
      <c r="E205" s="11" t="s">
        <v>393</v>
      </c>
      <c r="F205" s="11" t="s">
        <v>181</v>
      </c>
      <c r="G205" s="11" t="s">
        <v>175</v>
      </c>
      <c r="H205" s="11" t="s">
        <v>176</v>
      </c>
      <c r="I205" s="8" t="s">
        <v>177</v>
      </c>
      <c r="J205" s="12" t="s">
        <v>957</v>
      </c>
      <c r="K205" t="b">
        <v>1</v>
      </c>
      <c r="L205" s="10">
        <v>44389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L31"/>
  <sheetViews>
    <sheetView workbookViewId="0"/>
  </sheetViews>
  <sheetFormatPr baseColWidth="10" defaultRowHeight="15" x14ac:dyDescent="0.2"/>
  <cols>
    <col min="1" max="1" width="18.6640625" bestFit="1" customWidth="1"/>
    <col min="2" max="2" width="18" bestFit="1" customWidth="1"/>
    <col min="3" max="3" width="5.1640625" bestFit="1" customWidth="1"/>
    <col min="4" max="4" width="26.5" bestFit="1" customWidth="1"/>
    <col min="5" max="5" width="21.6640625" bestFit="1" customWidth="1"/>
    <col min="6" max="6" width="35.6640625" bestFit="1" customWidth="1"/>
    <col min="7" max="7" width="12.5" bestFit="1" customWidth="1"/>
    <col min="8" max="8" width="9.6640625" bestFit="1" customWidth="1"/>
    <col min="9" max="9" width="17.83203125" bestFit="1" customWidth="1"/>
    <col min="10" max="10" width="22.1640625" bestFit="1" customWidth="1"/>
    <col min="11" max="11" width="20" bestFit="1" customWidth="1"/>
    <col min="12" max="12" width="20.6640625" bestFit="1" customWidth="1"/>
    <col min="13" max="13" width="13" bestFit="1" customWidth="1"/>
    <col min="14" max="14" width="13.33203125" bestFit="1" customWidth="1"/>
    <col min="15" max="15" width="34.5" bestFit="1" customWidth="1"/>
    <col min="16" max="16" width="33.33203125" bestFit="1" customWidth="1"/>
    <col min="17" max="17" width="14" bestFit="1" customWidth="1"/>
    <col min="18" max="18" width="11.83203125" bestFit="1" customWidth="1"/>
    <col min="19" max="19" width="21.5" bestFit="1" customWidth="1"/>
    <col min="20" max="20" width="21.1640625" bestFit="1" customWidth="1"/>
    <col min="21" max="21" width="34.1640625" bestFit="1" customWidth="1"/>
    <col min="22" max="22" width="19.6640625" bestFit="1" customWidth="1"/>
    <col min="23" max="23" width="32.5" bestFit="1" customWidth="1"/>
    <col min="24" max="24" width="24.1640625" bestFit="1" customWidth="1"/>
    <col min="25" max="25" width="16" bestFit="1" customWidth="1"/>
    <col min="26" max="26" width="19.6640625" bestFit="1" customWidth="1"/>
    <col min="27" max="27" width="21.1640625" bestFit="1" customWidth="1"/>
    <col min="28" max="28" width="19.33203125" bestFit="1" customWidth="1"/>
    <col min="29" max="29" width="18.5" bestFit="1" customWidth="1"/>
    <col min="30" max="30" width="19" bestFit="1" customWidth="1"/>
    <col min="31" max="31" width="10.1640625" bestFit="1" customWidth="1"/>
    <col min="32" max="32" width="29.33203125" bestFit="1" customWidth="1"/>
    <col min="33" max="33" width="16.1640625" bestFit="1" customWidth="1"/>
    <col min="34" max="34" width="24.6640625" bestFit="1" customWidth="1"/>
    <col min="35" max="35" width="26.83203125" bestFit="1" customWidth="1"/>
    <col min="36" max="36" width="25.33203125" bestFit="1" customWidth="1"/>
    <col min="37" max="37" width="28" bestFit="1" customWidth="1"/>
    <col min="38" max="38" width="8" bestFit="1" customWidth="1"/>
    <col min="39" max="39" width="28" bestFit="1" customWidth="1"/>
  </cols>
  <sheetData>
    <row r="1" spans="1:38" x14ac:dyDescent="0.2">
      <c r="A1" t="s">
        <v>2326</v>
      </c>
      <c r="B1" t="s">
        <v>2327</v>
      </c>
      <c r="C1" t="s">
        <v>1343</v>
      </c>
      <c r="D1" t="s">
        <v>0</v>
      </c>
      <c r="E1" t="s">
        <v>2078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15</v>
      </c>
      <c r="L1" t="s">
        <v>14</v>
      </c>
      <c r="M1" t="s">
        <v>8</v>
      </c>
      <c r="N1" t="s">
        <v>6</v>
      </c>
      <c r="O1" t="s">
        <v>7</v>
      </c>
      <c r="P1" t="s">
        <v>2076</v>
      </c>
      <c r="Q1" t="s">
        <v>9</v>
      </c>
      <c r="R1" t="s">
        <v>10</v>
      </c>
      <c r="S1" t="s">
        <v>11</v>
      </c>
      <c r="T1" t="s">
        <v>2062</v>
      </c>
      <c r="U1" t="s">
        <v>12</v>
      </c>
      <c r="V1" t="s">
        <v>13</v>
      </c>
      <c r="W1" t="s">
        <v>2398</v>
      </c>
      <c r="X1" t="s">
        <v>2397</v>
      </c>
      <c r="Y1" t="s">
        <v>17</v>
      </c>
      <c r="Z1" t="s">
        <v>16</v>
      </c>
      <c r="AA1" t="s">
        <v>18</v>
      </c>
      <c r="AB1" t="s">
        <v>19</v>
      </c>
      <c r="AC1" t="s">
        <v>20</v>
      </c>
      <c r="AD1" t="s">
        <v>21</v>
      </c>
      <c r="AE1" t="s">
        <v>28</v>
      </c>
      <c r="AF1" t="s">
        <v>22</v>
      </c>
      <c r="AG1" t="s">
        <v>23</v>
      </c>
      <c r="AH1" t="s">
        <v>24</v>
      </c>
      <c r="AI1" t="s">
        <v>25</v>
      </c>
      <c r="AJ1" t="s">
        <v>26</v>
      </c>
      <c r="AK1" t="s">
        <v>27</v>
      </c>
      <c r="AL1" t="s">
        <v>2599</v>
      </c>
    </row>
    <row r="2" spans="1:38" x14ac:dyDescent="0.2">
      <c r="B2" s="62"/>
      <c r="C2" t="s">
        <v>2399</v>
      </c>
      <c r="D2" s="8"/>
      <c r="F2" s="8" t="s">
        <v>2399</v>
      </c>
      <c r="G2" t="s">
        <v>2399</v>
      </c>
      <c r="H2" s="8" t="s">
        <v>2399</v>
      </c>
      <c r="I2" s="8" t="s">
        <v>2399</v>
      </c>
      <c r="J2" s="8" t="s">
        <v>2399</v>
      </c>
      <c r="K2" s="8" t="s">
        <v>2399</v>
      </c>
      <c r="L2" t="s">
        <v>2399</v>
      </c>
      <c r="M2" s="8"/>
      <c r="N2" s="8"/>
      <c r="O2" s="8"/>
      <c r="P2" t="s">
        <v>2399</v>
      </c>
      <c r="Q2" s="62"/>
      <c r="R2" s="62"/>
      <c r="S2" s="8"/>
      <c r="T2" s="8"/>
      <c r="U2" t="s">
        <v>2399</v>
      </c>
      <c r="V2" s="8"/>
      <c r="W2" s="8"/>
      <c r="AE2" t="s">
        <v>2399</v>
      </c>
      <c r="AF2" s="8"/>
      <c r="AG2" s="8"/>
      <c r="AH2" s="8"/>
      <c r="AI2" s="8" t="s">
        <v>2399</v>
      </c>
      <c r="AJ2" s="8" t="s">
        <v>2399</v>
      </c>
      <c r="AL2" s="8"/>
    </row>
    <row r="3" spans="1:38" x14ac:dyDescent="0.2">
      <c r="B3" s="62"/>
      <c r="C3" t="s">
        <v>2399</v>
      </c>
      <c r="D3" s="8"/>
      <c r="F3" s="8" t="s">
        <v>2399</v>
      </c>
      <c r="G3" t="s">
        <v>2399</v>
      </c>
      <c r="H3" s="8" t="s">
        <v>2399</v>
      </c>
      <c r="I3" s="8" t="s">
        <v>2399</v>
      </c>
      <c r="J3" s="8" t="s">
        <v>2399</v>
      </c>
      <c r="K3" s="8" t="s">
        <v>2399</v>
      </c>
      <c r="L3" t="s">
        <v>2399</v>
      </c>
      <c r="M3" s="8"/>
      <c r="N3" s="8"/>
      <c r="O3" s="8"/>
      <c r="P3" t="s">
        <v>2399</v>
      </c>
      <c r="Q3" s="62"/>
      <c r="R3" s="62"/>
      <c r="S3" s="8"/>
      <c r="T3" s="8"/>
      <c r="U3" t="s">
        <v>2399</v>
      </c>
      <c r="V3" s="8"/>
      <c r="W3" s="8"/>
      <c r="AE3" t="s">
        <v>2399</v>
      </c>
      <c r="AF3" s="8"/>
      <c r="AG3" s="8"/>
      <c r="AH3" s="8"/>
      <c r="AI3" s="8" t="s">
        <v>2399</v>
      </c>
      <c r="AJ3" s="8" t="s">
        <v>2399</v>
      </c>
      <c r="AL3" s="8"/>
    </row>
    <row r="4" spans="1:38" x14ac:dyDescent="0.2">
      <c r="B4" s="62"/>
      <c r="C4" t="s">
        <v>2399</v>
      </c>
      <c r="D4" s="8"/>
      <c r="F4" s="8" t="s">
        <v>2399</v>
      </c>
      <c r="G4" t="s">
        <v>2399</v>
      </c>
      <c r="H4" s="8" t="s">
        <v>2399</v>
      </c>
      <c r="I4" s="8" t="s">
        <v>2399</v>
      </c>
      <c r="J4" s="8" t="s">
        <v>2399</v>
      </c>
      <c r="K4" s="8" t="s">
        <v>2399</v>
      </c>
      <c r="L4" t="s">
        <v>2399</v>
      </c>
      <c r="M4" s="8"/>
      <c r="N4" s="8"/>
      <c r="O4" s="8"/>
      <c r="P4" t="s">
        <v>2399</v>
      </c>
      <c r="Q4" s="62"/>
      <c r="R4" s="62"/>
      <c r="S4" s="8"/>
      <c r="T4" s="8"/>
      <c r="U4" t="s">
        <v>2399</v>
      </c>
      <c r="V4" s="8"/>
      <c r="W4" s="8"/>
      <c r="AE4" t="s">
        <v>2399</v>
      </c>
      <c r="AF4" s="8"/>
      <c r="AG4" s="8"/>
      <c r="AH4" s="8"/>
      <c r="AI4" s="8" t="s">
        <v>2399</v>
      </c>
      <c r="AJ4" s="8" t="s">
        <v>2399</v>
      </c>
      <c r="AL4" s="8"/>
    </row>
    <row r="5" spans="1:38" x14ac:dyDescent="0.2">
      <c r="B5" s="62"/>
      <c r="C5" t="s">
        <v>2399</v>
      </c>
      <c r="D5" s="8"/>
      <c r="F5" s="8" t="s">
        <v>2399</v>
      </c>
      <c r="G5" t="s">
        <v>2399</v>
      </c>
      <c r="H5" s="8" t="s">
        <v>2399</v>
      </c>
      <c r="I5" s="8" t="s">
        <v>2399</v>
      </c>
      <c r="J5" s="8" t="s">
        <v>2399</v>
      </c>
      <c r="K5" s="8" t="s">
        <v>2399</v>
      </c>
      <c r="L5" t="s">
        <v>2399</v>
      </c>
      <c r="M5" s="8"/>
      <c r="N5" s="8"/>
      <c r="O5" s="8"/>
      <c r="P5" t="s">
        <v>2399</v>
      </c>
      <c r="Q5" s="62"/>
      <c r="R5" s="62"/>
      <c r="S5" s="8"/>
      <c r="T5" s="8"/>
      <c r="U5" t="s">
        <v>2399</v>
      </c>
      <c r="V5" s="8"/>
      <c r="W5" s="8"/>
      <c r="AE5" t="s">
        <v>2399</v>
      </c>
      <c r="AF5" s="8"/>
      <c r="AG5" s="8"/>
      <c r="AH5" s="8"/>
      <c r="AI5" s="8" t="s">
        <v>2399</v>
      </c>
      <c r="AJ5" s="8" t="s">
        <v>2399</v>
      </c>
      <c r="AL5" s="8"/>
    </row>
    <row r="6" spans="1:38" x14ac:dyDescent="0.2">
      <c r="B6" s="62"/>
      <c r="C6" t="s">
        <v>2399</v>
      </c>
      <c r="D6" s="8"/>
      <c r="F6" s="8" t="s">
        <v>2399</v>
      </c>
      <c r="G6" t="s">
        <v>2399</v>
      </c>
      <c r="H6" s="8" t="s">
        <v>2399</v>
      </c>
      <c r="I6" s="8" t="s">
        <v>2399</v>
      </c>
      <c r="J6" s="8" t="s">
        <v>2399</v>
      </c>
      <c r="K6" s="8" t="s">
        <v>2399</v>
      </c>
      <c r="L6" t="s">
        <v>2399</v>
      </c>
      <c r="M6" s="8"/>
      <c r="N6" s="8"/>
      <c r="O6" s="8"/>
      <c r="P6" t="s">
        <v>2399</v>
      </c>
      <c r="Q6" s="62"/>
      <c r="R6" s="62"/>
      <c r="S6" s="8"/>
      <c r="T6" s="8"/>
      <c r="U6" t="s">
        <v>2399</v>
      </c>
      <c r="V6" s="8"/>
      <c r="W6" s="8"/>
      <c r="AE6" t="s">
        <v>2399</v>
      </c>
      <c r="AF6" s="8"/>
      <c r="AG6" s="8"/>
      <c r="AH6" s="8"/>
      <c r="AI6" s="8" t="s">
        <v>2399</v>
      </c>
      <c r="AJ6" s="8" t="s">
        <v>2399</v>
      </c>
      <c r="AL6" s="8"/>
    </row>
    <row r="7" spans="1:38" x14ac:dyDescent="0.2">
      <c r="B7" s="62"/>
      <c r="C7" t="s">
        <v>2399</v>
      </c>
      <c r="D7" s="8"/>
      <c r="F7" s="8" t="s">
        <v>2399</v>
      </c>
      <c r="G7" t="s">
        <v>2399</v>
      </c>
      <c r="H7" s="8" t="s">
        <v>2399</v>
      </c>
      <c r="I7" s="8" t="s">
        <v>2399</v>
      </c>
      <c r="J7" s="8" t="s">
        <v>2399</v>
      </c>
      <c r="K7" s="8" t="s">
        <v>2399</v>
      </c>
      <c r="L7" t="s">
        <v>2399</v>
      </c>
      <c r="M7" s="8"/>
      <c r="N7" s="8"/>
      <c r="O7" s="8"/>
      <c r="P7" t="s">
        <v>2399</v>
      </c>
      <c r="Q7" s="62"/>
      <c r="R7" s="62"/>
      <c r="S7" s="8"/>
      <c r="T7" s="8"/>
      <c r="U7" t="s">
        <v>2399</v>
      </c>
      <c r="V7" s="8"/>
      <c r="W7" s="8"/>
      <c r="AE7" t="s">
        <v>2399</v>
      </c>
      <c r="AF7" s="8"/>
      <c r="AG7" s="8"/>
      <c r="AH7" s="8"/>
      <c r="AI7" s="8" t="s">
        <v>2399</v>
      </c>
      <c r="AJ7" s="8" t="s">
        <v>2399</v>
      </c>
      <c r="AL7" s="8"/>
    </row>
    <row r="8" spans="1:38" x14ac:dyDescent="0.2">
      <c r="B8" s="62"/>
      <c r="C8" t="s">
        <v>2399</v>
      </c>
      <c r="D8" s="8"/>
      <c r="F8" s="8" t="s">
        <v>2399</v>
      </c>
      <c r="G8" t="s">
        <v>2399</v>
      </c>
      <c r="H8" s="8" t="s">
        <v>2399</v>
      </c>
      <c r="I8" s="8" t="s">
        <v>2399</v>
      </c>
      <c r="J8" s="8" t="s">
        <v>2399</v>
      </c>
      <c r="K8" s="8" t="s">
        <v>2399</v>
      </c>
      <c r="L8" t="s">
        <v>2399</v>
      </c>
      <c r="M8" s="8"/>
      <c r="N8" s="8"/>
      <c r="O8" s="8"/>
      <c r="P8" t="s">
        <v>2399</v>
      </c>
      <c r="Q8" s="62"/>
      <c r="R8" s="62"/>
      <c r="S8" s="8"/>
      <c r="T8" s="8"/>
      <c r="U8" t="s">
        <v>2399</v>
      </c>
      <c r="V8" s="8"/>
      <c r="W8" s="8"/>
      <c r="AE8" t="s">
        <v>2399</v>
      </c>
      <c r="AF8" s="8"/>
      <c r="AG8" s="8"/>
      <c r="AH8" s="8"/>
      <c r="AI8" s="8" t="s">
        <v>2399</v>
      </c>
      <c r="AJ8" s="8" t="s">
        <v>2399</v>
      </c>
      <c r="AL8" s="8"/>
    </row>
    <row r="9" spans="1:38" x14ac:dyDescent="0.2">
      <c r="B9" s="62"/>
      <c r="C9" t="s">
        <v>2399</v>
      </c>
      <c r="D9" s="8"/>
      <c r="F9" s="8" t="s">
        <v>2399</v>
      </c>
      <c r="G9" t="s">
        <v>2399</v>
      </c>
      <c r="H9" s="8" t="s">
        <v>2399</v>
      </c>
      <c r="I9" s="8" t="s">
        <v>2399</v>
      </c>
      <c r="J9" s="8" t="s">
        <v>2399</v>
      </c>
      <c r="K9" s="8" t="s">
        <v>2399</v>
      </c>
      <c r="L9" t="s">
        <v>2399</v>
      </c>
      <c r="M9" s="8"/>
      <c r="N9" s="8"/>
      <c r="O9" s="8"/>
      <c r="P9" t="s">
        <v>2399</v>
      </c>
      <c r="Q9" s="62"/>
      <c r="R9" s="62"/>
      <c r="S9" s="8"/>
      <c r="T9" s="8"/>
      <c r="U9" t="s">
        <v>2399</v>
      </c>
      <c r="V9" s="8"/>
      <c r="W9" s="8"/>
      <c r="AE9" t="s">
        <v>2399</v>
      </c>
      <c r="AF9" s="8"/>
      <c r="AG9" s="8"/>
      <c r="AH9" s="8"/>
      <c r="AI9" s="8" t="s">
        <v>2399</v>
      </c>
      <c r="AJ9" s="8" t="s">
        <v>2399</v>
      </c>
      <c r="AL9" s="8"/>
    </row>
    <row r="10" spans="1:38" x14ac:dyDescent="0.2">
      <c r="B10" s="62"/>
      <c r="C10" t="s">
        <v>2399</v>
      </c>
      <c r="D10" s="8"/>
      <c r="F10" s="8" t="s">
        <v>2399</v>
      </c>
      <c r="G10" t="s">
        <v>2399</v>
      </c>
      <c r="H10" s="8" t="s">
        <v>2399</v>
      </c>
      <c r="I10" s="8" t="s">
        <v>2399</v>
      </c>
      <c r="J10" s="8" t="s">
        <v>2399</v>
      </c>
      <c r="K10" s="8" t="s">
        <v>2399</v>
      </c>
      <c r="L10" t="s">
        <v>2399</v>
      </c>
      <c r="M10" s="8"/>
      <c r="N10" s="8"/>
      <c r="O10" s="8"/>
      <c r="P10" t="s">
        <v>2399</v>
      </c>
      <c r="Q10" s="62"/>
      <c r="R10" s="62"/>
      <c r="S10" s="8"/>
      <c r="T10" s="8"/>
      <c r="U10" t="s">
        <v>2399</v>
      </c>
      <c r="V10" s="8"/>
      <c r="W10" s="8"/>
      <c r="AE10" t="s">
        <v>2399</v>
      </c>
      <c r="AF10" s="8"/>
      <c r="AG10" s="8"/>
      <c r="AH10" s="8"/>
      <c r="AI10" s="8" t="s">
        <v>2399</v>
      </c>
      <c r="AJ10" s="8" t="s">
        <v>2399</v>
      </c>
      <c r="AL10" s="8"/>
    </row>
    <row r="11" spans="1:38" x14ac:dyDescent="0.2">
      <c r="B11" s="62"/>
      <c r="C11" t="s">
        <v>2399</v>
      </c>
      <c r="D11" s="8"/>
      <c r="F11" s="8" t="s">
        <v>2399</v>
      </c>
      <c r="G11" t="s">
        <v>2399</v>
      </c>
      <c r="H11" s="8" t="s">
        <v>2399</v>
      </c>
      <c r="I11" s="8" t="s">
        <v>2399</v>
      </c>
      <c r="J11" s="8" t="s">
        <v>2399</v>
      </c>
      <c r="K11" s="8" t="s">
        <v>2399</v>
      </c>
      <c r="L11" t="s">
        <v>2399</v>
      </c>
      <c r="M11" s="8"/>
      <c r="N11" s="8"/>
      <c r="O11" s="8"/>
      <c r="P11" t="s">
        <v>2399</v>
      </c>
      <c r="Q11" s="62"/>
      <c r="R11" s="62"/>
      <c r="S11" s="8"/>
      <c r="T11" s="8"/>
      <c r="U11" t="s">
        <v>2399</v>
      </c>
      <c r="V11" s="8"/>
      <c r="W11" s="8"/>
      <c r="AE11" t="s">
        <v>2399</v>
      </c>
      <c r="AF11" s="8"/>
      <c r="AG11" s="8"/>
      <c r="AH11" s="8"/>
      <c r="AI11" s="8" t="s">
        <v>2399</v>
      </c>
      <c r="AJ11" s="8" t="s">
        <v>2399</v>
      </c>
      <c r="AL11" s="8"/>
    </row>
    <row r="12" spans="1:38" x14ac:dyDescent="0.2">
      <c r="B12" s="62"/>
      <c r="C12" t="s">
        <v>2399</v>
      </c>
      <c r="D12" s="8"/>
      <c r="F12" s="8" t="s">
        <v>2399</v>
      </c>
      <c r="G12" t="s">
        <v>2399</v>
      </c>
      <c r="H12" s="8" t="s">
        <v>2399</v>
      </c>
      <c r="I12" s="8" t="s">
        <v>2399</v>
      </c>
      <c r="J12" s="8" t="s">
        <v>2399</v>
      </c>
      <c r="K12" s="8" t="s">
        <v>2399</v>
      </c>
      <c r="L12" t="s">
        <v>2399</v>
      </c>
      <c r="M12" s="8"/>
      <c r="N12" s="8"/>
      <c r="O12" s="8"/>
      <c r="P12" t="s">
        <v>2399</v>
      </c>
      <c r="Q12" s="62"/>
      <c r="R12" s="62"/>
      <c r="S12" s="8"/>
      <c r="T12" s="8"/>
      <c r="U12" t="s">
        <v>2399</v>
      </c>
      <c r="V12" s="8"/>
      <c r="W12" s="8"/>
      <c r="AE12" t="s">
        <v>2399</v>
      </c>
      <c r="AF12" s="8"/>
      <c r="AG12" s="8"/>
      <c r="AH12" s="8"/>
      <c r="AI12" s="8" t="s">
        <v>2399</v>
      </c>
      <c r="AJ12" s="8" t="s">
        <v>2399</v>
      </c>
      <c r="AL12" s="8"/>
    </row>
    <row r="13" spans="1:38" x14ac:dyDescent="0.2">
      <c r="B13" s="62"/>
      <c r="C13" t="s">
        <v>2399</v>
      </c>
      <c r="D13" s="8"/>
      <c r="F13" s="8" t="s">
        <v>2399</v>
      </c>
      <c r="G13" t="s">
        <v>2399</v>
      </c>
      <c r="H13" s="8" t="s">
        <v>2399</v>
      </c>
      <c r="I13" s="8" t="s">
        <v>2399</v>
      </c>
      <c r="J13" s="8" t="s">
        <v>2399</v>
      </c>
      <c r="K13" s="8" t="s">
        <v>2399</v>
      </c>
      <c r="L13" t="s">
        <v>2399</v>
      </c>
      <c r="M13" s="8"/>
      <c r="N13" s="8"/>
      <c r="O13" s="8"/>
      <c r="P13" t="s">
        <v>2399</v>
      </c>
      <c r="Q13" s="62"/>
      <c r="R13" s="62"/>
      <c r="S13" s="8"/>
      <c r="T13" s="8"/>
      <c r="U13" t="s">
        <v>2399</v>
      </c>
      <c r="V13" s="8"/>
      <c r="W13" s="8"/>
      <c r="AE13" t="s">
        <v>2399</v>
      </c>
      <c r="AF13" s="8"/>
      <c r="AG13" s="8"/>
      <c r="AH13" s="8"/>
      <c r="AI13" s="8" t="s">
        <v>2399</v>
      </c>
      <c r="AJ13" s="8" t="s">
        <v>2399</v>
      </c>
      <c r="AL13" s="8"/>
    </row>
    <row r="14" spans="1:38" x14ac:dyDescent="0.2">
      <c r="B14" s="62"/>
      <c r="C14" t="s">
        <v>2399</v>
      </c>
      <c r="D14" s="8"/>
      <c r="F14" s="8" t="s">
        <v>2399</v>
      </c>
      <c r="G14" t="s">
        <v>2399</v>
      </c>
      <c r="H14" s="8" t="s">
        <v>2399</v>
      </c>
      <c r="I14" s="8" t="s">
        <v>2399</v>
      </c>
      <c r="J14" s="8" t="s">
        <v>2399</v>
      </c>
      <c r="K14" s="8" t="s">
        <v>2399</v>
      </c>
      <c r="L14" t="s">
        <v>2399</v>
      </c>
      <c r="M14" s="8"/>
      <c r="N14" s="8"/>
      <c r="O14" s="8"/>
      <c r="P14" t="s">
        <v>2399</v>
      </c>
      <c r="Q14" s="62"/>
      <c r="R14" s="62"/>
      <c r="S14" s="8"/>
      <c r="T14" s="8"/>
      <c r="U14" t="s">
        <v>2399</v>
      </c>
      <c r="V14" s="8"/>
      <c r="W14" s="8"/>
      <c r="AE14" t="s">
        <v>2399</v>
      </c>
      <c r="AF14" s="8"/>
      <c r="AG14" s="8"/>
      <c r="AH14" s="8"/>
      <c r="AI14" s="8" t="s">
        <v>2399</v>
      </c>
      <c r="AJ14" s="8" t="s">
        <v>2399</v>
      </c>
      <c r="AL14" s="8"/>
    </row>
    <row r="15" spans="1:38" x14ac:dyDescent="0.2">
      <c r="B15" s="62"/>
      <c r="C15" t="s">
        <v>2399</v>
      </c>
      <c r="D15" s="8"/>
      <c r="F15" s="8" t="s">
        <v>2399</v>
      </c>
      <c r="G15" t="s">
        <v>2399</v>
      </c>
      <c r="H15" s="8" t="s">
        <v>2399</v>
      </c>
      <c r="I15" s="8" t="s">
        <v>2399</v>
      </c>
      <c r="J15" s="8" t="s">
        <v>2399</v>
      </c>
      <c r="K15" s="8" t="s">
        <v>2399</v>
      </c>
      <c r="L15" t="s">
        <v>2399</v>
      </c>
      <c r="M15" s="8"/>
      <c r="N15" s="8"/>
      <c r="O15" s="8"/>
      <c r="P15" t="s">
        <v>2399</v>
      </c>
      <c r="Q15" s="62"/>
      <c r="R15" s="62"/>
      <c r="S15" s="8"/>
      <c r="T15" s="8"/>
      <c r="U15" t="s">
        <v>2399</v>
      </c>
      <c r="V15" s="8"/>
      <c r="W15" s="8"/>
      <c r="AE15" t="s">
        <v>2399</v>
      </c>
      <c r="AF15" s="8"/>
      <c r="AG15" s="8"/>
      <c r="AH15" s="8"/>
      <c r="AI15" s="8" t="s">
        <v>2399</v>
      </c>
      <c r="AJ15" s="8" t="s">
        <v>2399</v>
      </c>
      <c r="AL15" s="8"/>
    </row>
    <row r="16" spans="1:38" x14ac:dyDescent="0.2">
      <c r="B16" s="62"/>
      <c r="C16" t="s">
        <v>2399</v>
      </c>
      <c r="D16" s="8"/>
      <c r="F16" s="8" t="s">
        <v>2399</v>
      </c>
      <c r="G16" t="s">
        <v>2399</v>
      </c>
      <c r="H16" s="8" t="s">
        <v>2399</v>
      </c>
      <c r="I16" s="8" t="s">
        <v>2399</v>
      </c>
      <c r="J16" s="8" t="s">
        <v>2399</v>
      </c>
      <c r="K16" s="8" t="s">
        <v>2399</v>
      </c>
      <c r="L16" t="s">
        <v>2399</v>
      </c>
      <c r="M16" s="8"/>
      <c r="N16" s="8"/>
      <c r="O16" s="8"/>
      <c r="P16" t="s">
        <v>2399</v>
      </c>
      <c r="Q16" s="62"/>
      <c r="R16" s="62"/>
      <c r="S16" s="8"/>
      <c r="T16" s="8"/>
      <c r="U16" t="s">
        <v>2399</v>
      </c>
      <c r="V16" s="8"/>
      <c r="W16" s="8"/>
      <c r="AE16" t="s">
        <v>2399</v>
      </c>
      <c r="AF16" s="8"/>
      <c r="AG16" s="8"/>
      <c r="AH16" s="8"/>
      <c r="AI16" s="8" t="s">
        <v>2399</v>
      </c>
      <c r="AJ16" s="8" t="s">
        <v>2399</v>
      </c>
      <c r="AL16" s="8"/>
    </row>
    <row r="17" spans="2:38" x14ac:dyDescent="0.2">
      <c r="B17" s="62"/>
      <c r="C17" t="s">
        <v>2399</v>
      </c>
      <c r="D17" s="8"/>
      <c r="F17" s="8" t="s">
        <v>2399</v>
      </c>
      <c r="G17" t="s">
        <v>2399</v>
      </c>
      <c r="H17" s="8" t="s">
        <v>2399</v>
      </c>
      <c r="I17" s="8" t="s">
        <v>2399</v>
      </c>
      <c r="J17" s="8" t="s">
        <v>2399</v>
      </c>
      <c r="K17" s="8" t="s">
        <v>2399</v>
      </c>
      <c r="L17" t="s">
        <v>2399</v>
      </c>
      <c r="M17" s="8"/>
      <c r="N17" s="8"/>
      <c r="O17" s="8"/>
      <c r="P17" t="s">
        <v>2399</v>
      </c>
      <c r="Q17" s="62"/>
      <c r="R17" s="62"/>
      <c r="S17" s="8"/>
      <c r="T17" s="8"/>
      <c r="U17" t="s">
        <v>2399</v>
      </c>
      <c r="V17" s="8"/>
      <c r="W17" s="8"/>
      <c r="AE17" t="s">
        <v>2399</v>
      </c>
      <c r="AF17" s="8"/>
      <c r="AG17" s="8"/>
      <c r="AH17" s="8"/>
      <c r="AI17" s="8" t="s">
        <v>2399</v>
      </c>
      <c r="AJ17" s="8" t="s">
        <v>2399</v>
      </c>
      <c r="AL17" s="8"/>
    </row>
    <row r="18" spans="2:38" x14ac:dyDescent="0.2">
      <c r="B18" s="62"/>
      <c r="C18" t="s">
        <v>2399</v>
      </c>
      <c r="D18" s="8"/>
      <c r="F18" s="8" t="s">
        <v>2399</v>
      </c>
      <c r="G18" t="s">
        <v>2399</v>
      </c>
      <c r="H18" s="8" t="s">
        <v>2399</v>
      </c>
      <c r="I18" s="8" t="s">
        <v>2399</v>
      </c>
      <c r="J18" s="8" t="s">
        <v>2399</v>
      </c>
      <c r="K18" s="8" t="s">
        <v>2399</v>
      </c>
      <c r="L18" t="s">
        <v>2399</v>
      </c>
      <c r="M18" s="8"/>
      <c r="N18" s="8"/>
      <c r="O18" s="8"/>
      <c r="P18" t="s">
        <v>2399</v>
      </c>
      <c r="Q18" s="62"/>
      <c r="R18" s="62"/>
      <c r="S18" s="8"/>
      <c r="T18" s="8"/>
      <c r="U18" t="s">
        <v>2399</v>
      </c>
      <c r="V18" s="8"/>
      <c r="W18" s="8"/>
      <c r="AE18" t="s">
        <v>2399</v>
      </c>
      <c r="AF18" s="8"/>
      <c r="AG18" s="8"/>
      <c r="AH18" s="8"/>
      <c r="AI18" s="8" t="s">
        <v>2399</v>
      </c>
      <c r="AJ18" s="8" t="s">
        <v>2399</v>
      </c>
      <c r="AL18" s="8"/>
    </row>
    <row r="19" spans="2:38" x14ac:dyDescent="0.2">
      <c r="B19" s="62"/>
      <c r="C19" t="s">
        <v>2399</v>
      </c>
      <c r="D19" s="8"/>
      <c r="F19" s="8" t="s">
        <v>2399</v>
      </c>
      <c r="G19" t="s">
        <v>2399</v>
      </c>
      <c r="H19" s="8" t="s">
        <v>2399</v>
      </c>
      <c r="I19" s="8" t="s">
        <v>2399</v>
      </c>
      <c r="J19" s="8" t="s">
        <v>2399</v>
      </c>
      <c r="K19" s="8" t="s">
        <v>2399</v>
      </c>
      <c r="L19" t="s">
        <v>2399</v>
      </c>
      <c r="M19" s="8"/>
      <c r="N19" s="8"/>
      <c r="O19" s="8"/>
      <c r="P19" t="s">
        <v>2399</v>
      </c>
      <c r="Q19" s="62"/>
      <c r="R19" s="62"/>
      <c r="S19" s="8"/>
      <c r="T19" s="8"/>
      <c r="U19" t="s">
        <v>2399</v>
      </c>
      <c r="V19" s="8"/>
      <c r="W19" s="8"/>
      <c r="AE19" t="s">
        <v>2399</v>
      </c>
      <c r="AF19" s="8"/>
      <c r="AG19" s="8"/>
      <c r="AH19" s="8"/>
      <c r="AI19" s="8" t="s">
        <v>2399</v>
      </c>
      <c r="AJ19" s="8" t="s">
        <v>2399</v>
      </c>
      <c r="AL19" s="8"/>
    </row>
    <row r="20" spans="2:38" x14ac:dyDescent="0.2">
      <c r="B20" s="62"/>
      <c r="C20" t="s">
        <v>2399</v>
      </c>
      <c r="D20" s="8"/>
      <c r="F20" s="8" t="s">
        <v>2399</v>
      </c>
      <c r="G20" t="s">
        <v>2399</v>
      </c>
      <c r="H20" s="8" t="s">
        <v>2399</v>
      </c>
      <c r="I20" s="8" t="s">
        <v>2399</v>
      </c>
      <c r="J20" s="8" t="s">
        <v>2399</v>
      </c>
      <c r="K20" s="8" t="s">
        <v>2399</v>
      </c>
      <c r="L20" t="s">
        <v>2399</v>
      </c>
      <c r="M20" s="8"/>
      <c r="N20" s="8"/>
      <c r="O20" s="8"/>
      <c r="P20" t="s">
        <v>2399</v>
      </c>
      <c r="Q20" s="62"/>
      <c r="R20" s="62"/>
      <c r="S20" s="8"/>
      <c r="T20" s="8"/>
      <c r="U20" t="s">
        <v>2399</v>
      </c>
      <c r="V20" s="8"/>
      <c r="W20" s="8"/>
      <c r="AE20" t="s">
        <v>2399</v>
      </c>
      <c r="AF20" s="8"/>
      <c r="AG20" s="8"/>
      <c r="AH20" s="8"/>
      <c r="AI20" s="8" t="s">
        <v>2399</v>
      </c>
      <c r="AJ20" s="8" t="s">
        <v>2399</v>
      </c>
      <c r="AL20" s="8"/>
    </row>
    <row r="21" spans="2:38" x14ac:dyDescent="0.2">
      <c r="B21" s="62"/>
      <c r="C21" t="s">
        <v>2399</v>
      </c>
      <c r="D21" s="8"/>
      <c r="F21" s="8" t="s">
        <v>2399</v>
      </c>
      <c r="G21" t="s">
        <v>2399</v>
      </c>
      <c r="H21" s="8" t="s">
        <v>2399</v>
      </c>
      <c r="I21" s="8" t="s">
        <v>2399</v>
      </c>
      <c r="J21" s="8" t="s">
        <v>2399</v>
      </c>
      <c r="K21" s="8" t="s">
        <v>2399</v>
      </c>
      <c r="L21" t="s">
        <v>2399</v>
      </c>
      <c r="M21" s="8"/>
      <c r="N21" s="8"/>
      <c r="O21" s="8"/>
      <c r="P21" t="s">
        <v>2399</v>
      </c>
      <c r="Q21" s="62"/>
      <c r="R21" s="62"/>
      <c r="S21" s="8"/>
      <c r="T21" s="8"/>
      <c r="U21" t="s">
        <v>2399</v>
      </c>
      <c r="V21" s="8"/>
      <c r="W21" s="8"/>
      <c r="AE21" t="s">
        <v>2399</v>
      </c>
      <c r="AF21" s="8"/>
      <c r="AG21" s="8"/>
      <c r="AH21" s="8"/>
      <c r="AI21" s="8" t="s">
        <v>2399</v>
      </c>
      <c r="AJ21" s="8" t="s">
        <v>2399</v>
      </c>
      <c r="AL21" s="8"/>
    </row>
    <row r="22" spans="2:38" x14ac:dyDescent="0.2">
      <c r="B22" s="62"/>
      <c r="C22" t="s">
        <v>2399</v>
      </c>
      <c r="D22" s="8"/>
      <c r="F22" s="8" t="s">
        <v>2399</v>
      </c>
      <c r="G22" t="s">
        <v>2399</v>
      </c>
      <c r="H22" s="8" t="s">
        <v>2399</v>
      </c>
      <c r="I22" s="8" t="s">
        <v>2399</v>
      </c>
      <c r="J22" s="8" t="s">
        <v>2399</v>
      </c>
      <c r="K22" s="8" t="s">
        <v>2399</v>
      </c>
      <c r="L22" t="s">
        <v>2399</v>
      </c>
      <c r="M22" s="8"/>
      <c r="N22" s="8"/>
      <c r="O22" s="8"/>
      <c r="P22" t="s">
        <v>2399</v>
      </c>
      <c r="Q22" s="62"/>
      <c r="R22" s="62"/>
      <c r="S22" s="8"/>
      <c r="T22" s="8"/>
      <c r="U22" t="s">
        <v>2399</v>
      </c>
      <c r="V22" s="8"/>
      <c r="W22" s="8"/>
      <c r="AE22" t="s">
        <v>2399</v>
      </c>
      <c r="AF22" s="8"/>
      <c r="AG22" s="8"/>
      <c r="AH22" s="8"/>
      <c r="AI22" s="8" t="s">
        <v>2399</v>
      </c>
      <c r="AJ22" s="8" t="s">
        <v>2399</v>
      </c>
      <c r="AL22" s="8"/>
    </row>
    <row r="23" spans="2:38" x14ac:dyDescent="0.2">
      <c r="B23" s="62"/>
      <c r="C23" t="s">
        <v>2399</v>
      </c>
      <c r="D23" s="8"/>
      <c r="F23" s="8" t="s">
        <v>2399</v>
      </c>
      <c r="G23" t="s">
        <v>2399</v>
      </c>
      <c r="H23" s="8" t="s">
        <v>2399</v>
      </c>
      <c r="I23" s="8" t="s">
        <v>2399</v>
      </c>
      <c r="J23" s="8" t="s">
        <v>2399</v>
      </c>
      <c r="K23" s="8" t="s">
        <v>2399</v>
      </c>
      <c r="L23" t="s">
        <v>2399</v>
      </c>
      <c r="M23" s="8"/>
      <c r="N23" s="8"/>
      <c r="O23" s="8"/>
      <c r="P23" t="s">
        <v>2399</v>
      </c>
      <c r="Q23" s="62"/>
      <c r="R23" s="62"/>
      <c r="S23" s="8"/>
      <c r="T23" s="8"/>
      <c r="U23" t="s">
        <v>2399</v>
      </c>
      <c r="V23" s="8"/>
      <c r="W23" s="8"/>
      <c r="AE23" t="s">
        <v>2399</v>
      </c>
      <c r="AF23" s="8"/>
      <c r="AG23" s="8"/>
      <c r="AH23" s="8"/>
      <c r="AI23" s="8" t="s">
        <v>2399</v>
      </c>
      <c r="AJ23" s="8" t="s">
        <v>2399</v>
      </c>
      <c r="AL23" s="8"/>
    </row>
    <row r="24" spans="2:38" x14ac:dyDescent="0.2">
      <c r="B24" s="62"/>
      <c r="C24" t="s">
        <v>2399</v>
      </c>
      <c r="D24" s="8"/>
      <c r="F24" s="8" t="s">
        <v>2399</v>
      </c>
      <c r="G24" t="s">
        <v>2399</v>
      </c>
      <c r="H24" s="8" t="s">
        <v>2399</v>
      </c>
      <c r="I24" s="8" t="s">
        <v>2399</v>
      </c>
      <c r="J24" s="8" t="s">
        <v>2399</v>
      </c>
      <c r="K24" s="8" t="s">
        <v>2399</v>
      </c>
      <c r="L24" t="s">
        <v>2399</v>
      </c>
      <c r="M24" s="8"/>
      <c r="N24" s="8"/>
      <c r="O24" s="8"/>
      <c r="P24" t="s">
        <v>2399</v>
      </c>
      <c r="Q24" s="62"/>
      <c r="R24" s="62"/>
      <c r="S24" s="8"/>
      <c r="T24" s="8"/>
      <c r="U24" t="s">
        <v>2399</v>
      </c>
      <c r="V24" s="8"/>
      <c r="W24" s="8"/>
      <c r="AE24" t="s">
        <v>2399</v>
      </c>
      <c r="AF24" s="8"/>
      <c r="AG24" s="8"/>
      <c r="AH24" s="8"/>
      <c r="AI24" s="8" t="s">
        <v>2399</v>
      </c>
      <c r="AJ24" s="8" t="s">
        <v>2399</v>
      </c>
      <c r="AL24" s="8"/>
    </row>
    <row r="25" spans="2:38" x14ac:dyDescent="0.2">
      <c r="B25" s="62"/>
      <c r="C25" t="s">
        <v>2399</v>
      </c>
      <c r="D25" s="8"/>
      <c r="F25" s="8" t="s">
        <v>2399</v>
      </c>
      <c r="G25" t="s">
        <v>2399</v>
      </c>
      <c r="H25" s="8" t="s">
        <v>2399</v>
      </c>
      <c r="I25" s="8" t="s">
        <v>2399</v>
      </c>
      <c r="J25" s="8" t="s">
        <v>2399</v>
      </c>
      <c r="K25" s="8" t="s">
        <v>2399</v>
      </c>
      <c r="L25" t="s">
        <v>2399</v>
      </c>
      <c r="M25" s="8"/>
      <c r="N25" s="8"/>
      <c r="O25" s="8"/>
      <c r="P25" t="s">
        <v>2399</v>
      </c>
      <c r="Q25" s="62"/>
      <c r="R25" s="62"/>
      <c r="S25" s="8"/>
      <c r="T25" s="8"/>
      <c r="U25" t="s">
        <v>2399</v>
      </c>
      <c r="V25" s="8"/>
      <c r="W25" s="8"/>
      <c r="AE25" t="s">
        <v>2399</v>
      </c>
      <c r="AF25" s="8"/>
      <c r="AG25" s="8"/>
      <c r="AH25" s="8"/>
      <c r="AI25" s="8" t="s">
        <v>2399</v>
      </c>
      <c r="AJ25" s="8" t="s">
        <v>2399</v>
      </c>
      <c r="AL25" s="8"/>
    </row>
    <row r="26" spans="2:38" x14ac:dyDescent="0.2">
      <c r="B26" s="62"/>
      <c r="C26" t="s">
        <v>2399</v>
      </c>
      <c r="D26" s="8"/>
      <c r="F26" s="8" t="s">
        <v>2399</v>
      </c>
      <c r="G26" t="s">
        <v>2399</v>
      </c>
      <c r="H26" s="8" t="s">
        <v>2399</v>
      </c>
      <c r="I26" s="8" t="s">
        <v>2399</v>
      </c>
      <c r="J26" s="8" t="s">
        <v>2399</v>
      </c>
      <c r="K26" s="8" t="s">
        <v>2399</v>
      </c>
      <c r="L26" t="s">
        <v>2399</v>
      </c>
      <c r="M26" s="8"/>
      <c r="N26" s="8"/>
      <c r="O26" s="8"/>
      <c r="P26" t="s">
        <v>2399</v>
      </c>
      <c r="Q26" s="62"/>
      <c r="R26" s="62"/>
      <c r="S26" s="8"/>
      <c r="T26" s="8"/>
      <c r="U26" t="s">
        <v>2399</v>
      </c>
      <c r="V26" s="8"/>
      <c r="W26" s="8"/>
      <c r="AE26" t="s">
        <v>2399</v>
      </c>
      <c r="AF26" s="8"/>
      <c r="AG26" s="8"/>
      <c r="AH26" s="8"/>
      <c r="AI26" s="8" t="s">
        <v>2399</v>
      </c>
      <c r="AJ26" s="8" t="s">
        <v>2399</v>
      </c>
      <c r="AL26" s="8"/>
    </row>
    <row r="27" spans="2:38" x14ac:dyDescent="0.2">
      <c r="B27" s="62"/>
      <c r="C27" t="s">
        <v>2399</v>
      </c>
      <c r="D27" s="8"/>
      <c r="F27" s="8" t="s">
        <v>2399</v>
      </c>
      <c r="G27" t="s">
        <v>2399</v>
      </c>
      <c r="H27" s="8" t="s">
        <v>2399</v>
      </c>
      <c r="I27" s="8" t="s">
        <v>2399</v>
      </c>
      <c r="J27" s="8" t="s">
        <v>2399</v>
      </c>
      <c r="K27" s="8" t="s">
        <v>2399</v>
      </c>
      <c r="L27" t="s">
        <v>2399</v>
      </c>
      <c r="M27" s="8"/>
      <c r="N27" s="8"/>
      <c r="O27" s="8"/>
      <c r="P27" t="s">
        <v>2399</v>
      </c>
      <c r="Q27" s="62"/>
      <c r="R27" s="62"/>
      <c r="S27" s="8"/>
      <c r="T27" s="8"/>
      <c r="U27" t="s">
        <v>2399</v>
      </c>
      <c r="V27" s="8"/>
      <c r="W27" s="8"/>
      <c r="AE27" t="s">
        <v>2399</v>
      </c>
      <c r="AF27" s="8"/>
      <c r="AG27" s="8"/>
      <c r="AH27" s="8"/>
      <c r="AI27" s="8" t="s">
        <v>2399</v>
      </c>
      <c r="AJ27" s="8" t="s">
        <v>2399</v>
      </c>
      <c r="AL27" s="8"/>
    </row>
    <row r="28" spans="2:38" x14ac:dyDescent="0.2">
      <c r="B28" s="62"/>
      <c r="C28" t="s">
        <v>2399</v>
      </c>
      <c r="D28" s="8"/>
      <c r="F28" s="8" t="s">
        <v>2399</v>
      </c>
      <c r="G28" t="s">
        <v>2399</v>
      </c>
      <c r="H28" s="8" t="s">
        <v>2399</v>
      </c>
      <c r="I28" s="8" t="s">
        <v>2399</v>
      </c>
      <c r="J28" s="8" t="s">
        <v>2399</v>
      </c>
      <c r="K28" s="8" t="s">
        <v>2399</v>
      </c>
      <c r="L28" t="s">
        <v>2399</v>
      </c>
      <c r="M28" s="8"/>
      <c r="N28" s="8"/>
      <c r="O28" s="8"/>
      <c r="P28" t="s">
        <v>2399</v>
      </c>
      <c r="Q28" s="62"/>
      <c r="R28" s="62"/>
      <c r="S28" s="8"/>
      <c r="T28" s="8"/>
      <c r="U28" t="s">
        <v>2399</v>
      </c>
      <c r="V28" s="8"/>
      <c r="W28" s="8"/>
      <c r="AE28" t="s">
        <v>2399</v>
      </c>
      <c r="AF28" s="8"/>
      <c r="AG28" s="8"/>
      <c r="AH28" s="8"/>
      <c r="AI28" s="8" t="s">
        <v>2399</v>
      </c>
      <c r="AJ28" s="8" t="s">
        <v>2399</v>
      </c>
      <c r="AL28" s="8"/>
    </row>
    <row r="29" spans="2:38" x14ac:dyDescent="0.2">
      <c r="B29" s="62"/>
      <c r="C29" t="s">
        <v>2399</v>
      </c>
      <c r="D29" s="8"/>
      <c r="F29" s="8" t="s">
        <v>2399</v>
      </c>
      <c r="G29" t="s">
        <v>2399</v>
      </c>
      <c r="H29" s="8" t="s">
        <v>2399</v>
      </c>
      <c r="I29" s="8" t="s">
        <v>2399</v>
      </c>
      <c r="J29" s="8" t="s">
        <v>2399</v>
      </c>
      <c r="K29" s="8" t="s">
        <v>2399</v>
      </c>
      <c r="L29" t="s">
        <v>2399</v>
      </c>
      <c r="M29" s="8"/>
      <c r="N29" s="8"/>
      <c r="O29" s="8"/>
      <c r="P29" t="s">
        <v>2399</v>
      </c>
      <c r="Q29" s="62"/>
      <c r="R29" s="62"/>
      <c r="S29" s="8"/>
      <c r="T29" s="8"/>
      <c r="U29" t="s">
        <v>2399</v>
      </c>
      <c r="V29" s="8"/>
      <c r="W29" s="8"/>
      <c r="AE29" t="s">
        <v>2399</v>
      </c>
      <c r="AF29" s="8"/>
      <c r="AG29" s="8"/>
      <c r="AH29" s="8"/>
      <c r="AI29" s="8" t="s">
        <v>2399</v>
      </c>
      <c r="AJ29" s="8" t="s">
        <v>2399</v>
      </c>
      <c r="AL29" s="8"/>
    </row>
    <row r="30" spans="2:38" x14ac:dyDescent="0.2">
      <c r="B30" s="62"/>
      <c r="C30" t="s">
        <v>2399</v>
      </c>
      <c r="D30" s="8"/>
      <c r="F30" s="8" t="s">
        <v>2399</v>
      </c>
      <c r="G30" t="s">
        <v>2399</v>
      </c>
      <c r="H30" s="8" t="s">
        <v>2399</v>
      </c>
      <c r="I30" s="8" t="s">
        <v>2399</v>
      </c>
      <c r="J30" s="8" t="s">
        <v>2399</v>
      </c>
      <c r="K30" s="8" t="s">
        <v>2399</v>
      </c>
      <c r="L30" t="s">
        <v>2399</v>
      </c>
      <c r="M30" s="8"/>
      <c r="N30" s="8"/>
      <c r="O30" s="8"/>
      <c r="P30" t="s">
        <v>2399</v>
      </c>
      <c r="Q30" s="62"/>
      <c r="R30" s="62"/>
      <c r="S30" s="8"/>
      <c r="T30" s="8"/>
      <c r="U30" t="s">
        <v>2399</v>
      </c>
      <c r="V30" s="8"/>
      <c r="W30" s="8"/>
      <c r="AE30" t="s">
        <v>2399</v>
      </c>
      <c r="AF30" s="8"/>
      <c r="AG30" s="8"/>
      <c r="AH30" s="8"/>
      <c r="AI30" s="8" t="s">
        <v>2399</v>
      </c>
      <c r="AJ30" s="8" t="s">
        <v>2399</v>
      </c>
      <c r="AL30" s="8"/>
    </row>
    <row r="31" spans="2:38" x14ac:dyDescent="0.2">
      <c r="B31" s="62"/>
      <c r="C31" t="s">
        <v>2399</v>
      </c>
      <c r="D31" s="8"/>
      <c r="F31" s="8" t="s">
        <v>2399</v>
      </c>
      <c r="G31" t="s">
        <v>2399</v>
      </c>
      <c r="H31" s="8" t="s">
        <v>2399</v>
      </c>
      <c r="I31" s="8" t="s">
        <v>2399</v>
      </c>
      <c r="J31" s="8" t="s">
        <v>2399</v>
      </c>
      <c r="K31" s="8" t="s">
        <v>2399</v>
      </c>
      <c r="L31" t="s">
        <v>2399</v>
      </c>
      <c r="M31" s="8"/>
      <c r="N31" s="8"/>
      <c r="O31" s="8"/>
      <c r="P31" t="s">
        <v>2399</v>
      </c>
      <c r="Q31" s="62"/>
      <c r="R31" s="62"/>
      <c r="S31" s="8"/>
      <c r="T31" s="8"/>
      <c r="U31" t="s">
        <v>2399</v>
      </c>
      <c r="V31" s="8"/>
      <c r="W31" s="8"/>
      <c r="AE31" t="s">
        <v>2399</v>
      </c>
      <c r="AF31" s="8"/>
      <c r="AG31" s="8"/>
      <c r="AH31" s="8"/>
      <c r="AI31" s="8" t="s">
        <v>2399</v>
      </c>
      <c r="AJ31" s="8" t="s">
        <v>2399</v>
      </c>
      <c r="AL31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F102"/>
  <sheetViews>
    <sheetView workbookViewId="0"/>
  </sheetViews>
  <sheetFormatPr baseColWidth="10" defaultRowHeight="15" x14ac:dyDescent="0.2"/>
  <cols>
    <col min="1" max="1" width="43.83203125" bestFit="1" customWidth="1"/>
    <col min="2" max="2" width="16.6640625" style="1" bestFit="1" customWidth="1"/>
    <col min="3" max="3" width="39.1640625" style="1" bestFit="1" customWidth="1"/>
    <col min="4" max="4" width="12" style="1" bestFit="1" customWidth="1"/>
    <col min="5" max="5" width="15.6640625" style="1" bestFit="1" customWidth="1"/>
    <col min="6" max="6" width="20.1640625" style="1" bestFit="1" customWidth="1"/>
  </cols>
  <sheetData>
    <row r="1" spans="1:6" x14ac:dyDescent="0.2">
      <c r="A1" t="s">
        <v>30</v>
      </c>
      <c r="B1" s="1" t="s">
        <v>2085</v>
      </c>
      <c r="C1" s="1" t="s">
        <v>2567</v>
      </c>
      <c r="D1" s="1" t="s">
        <v>2568</v>
      </c>
      <c r="E1" t="s">
        <v>2589</v>
      </c>
      <c r="F1" s="1" t="s">
        <v>2307</v>
      </c>
    </row>
    <row r="2" spans="1:6" x14ac:dyDescent="0.2">
      <c r="A2" s="8" t="s">
        <v>2050</v>
      </c>
      <c r="B2" s="1">
        <v>65</v>
      </c>
      <c r="C2" s="1" t="s">
        <v>2502</v>
      </c>
      <c r="D2" s="1" t="s">
        <v>2503</v>
      </c>
      <c r="E2" s="6">
        <v>44390.276643518519</v>
      </c>
      <c r="F2" s="11" t="s">
        <v>2308</v>
      </c>
    </row>
    <row r="3" spans="1:6" x14ac:dyDescent="0.2">
      <c r="A3" s="8" t="s">
        <v>2309</v>
      </c>
      <c r="B3" s="1">
        <v>1</v>
      </c>
      <c r="C3" s="1" t="s">
        <v>2399</v>
      </c>
      <c r="E3" s="6">
        <v>44390.272719907407</v>
      </c>
      <c r="F3" s="11" t="s">
        <v>2308</v>
      </c>
    </row>
    <row r="4" spans="1:6" x14ac:dyDescent="0.2">
      <c r="A4" s="8" t="s">
        <v>107</v>
      </c>
      <c r="B4" s="1">
        <v>2</v>
      </c>
      <c r="C4" s="1" t="s">
        <v>2399</v>
      </c>
      <c r="E4" s="6">
        <v>44390.276319444441</v>
      </c>
      <c r="F4" s="11" t="s">
        <v>2308</v>
      </c>
    </row>
    <row r="5" spans="1:6" x14ac:dyDescent="0.2">
      <c r="A5" s="8" t="s">
        <v>38</v>
      </c>
      <c r="B5" s="1">
        <v>3</v>
      </c>
      <c r="C5" s="1" t="s">
        <v>2399</v>
      </c>
      <c r="E5" s="6">
        <v>44390.276400462964</v>
      </c>
      <c r="F5" s="11" t="s">
        <v>2308</v>
      </c>
    </row>
    <row r="6" spans="1:6" x14ac:dyDescent="0.2">
      <c r="A6" s="8" t="s">
        <v>37</v>
      </c>
      <c r="B6" s="1">
        <v>4</v>
      </c>
      <c r="C6" s="1" t="s">
        <v>2504</v>
      </c>
      <c r="D6" s="1" t="s">
        <v>2503</v>
      </c>
      <c r="E6" s="6">
        <v>44390.276469907411</v>
      </c>
      <c r="F6" s="11" t="s">
        <v>2308</v>
      </c>
    </row>
    <row r="7" spans="1:6" x14ac:dyDescent="0.2">
      <c r="A7" s="8" t="s">
        <v>40</v>
      </c>
      <c r="B7" s="1">
        <v>122</v>
      </c>
      <c r="C7" s="1" t="s">
        <v>2505</v>
      </c>
      <c r="D7" s="1" t="s">
        <v>2503</v>
      </c>
      <c r="E7" s="6">
        <v>44390.276284722226</v>
      </c>
      <c r="F7" s="11" t="s">
        <v>2308</v>
      </c>
    </row>
    <row r="8" spans="1:6" x14ac:dyDescent="0.2">
      <c r="A8" s="8" t="s">
        <v>86</v>
      </c>
      <c r="B8" s="1">
        <v>5</v>
      </c>
      <c r="C8" s="1" t="s">
        <v>2506</v>
      </c>
      <c r="D8" s="1" t="s">
        <v>2503</v>
      </c>
      <c r="E8" s="6">
        <v>44390.276539351849</v>
      </c>
      <c r="F8" s="11" t="s">
        <v>2308</v>
      </c>
    </row>
    <row r="9" spans="1:6" x14ac:dyDescent="0.2">
      <c r="A9" s="8" t="s">
        <v>112</v>
      </c>
      <c r="B9" s="1">
        <v>117</v>
      </c>
      <c r="C9" s="1" t="s">
        <v>2507</v>
      </c>
      <c r="D9" s="1" t="s">
        <v>2503</v>
      </c>
      <c r="E9" s="6">
        <v>44390.276261574072</v>
      </c>
      <c r="F9" s="11" t="s">
        <v>2308</v>
      </c>
    </row>
    <row r="10" spans="1:6" x14ac:dyDescent="0.2">
      <c r="A10" s="8" t="s">
        <v>74</v>
      </c>
      <c r="B10" s="1">
        <v>66</v>
      </c>
      <c r="C10" s="1" t="s">
        <v>2508</v>
      </c>
      <c r="D10" s="1" t="s">
        <v>2503</v>
      </c>
      <c r="E10" s="6">
        <v>44390.276655092595</v>
      </c>
      <c r="F10" s="11" t="s">
        <v>2308</v>
      </c>
    </row>
    <row r="11" spans="1:6" x14ac:dyDescent="0.2">
      <c r="A11" s="8" t="s">
        <v>73</v>
      </c>
      <c r="B11" s="1">
        <v>67</v>
      </c>
      <c r="C11" s="1" t="s">
        <v>2508</v>
      </c>
      <c r="D11" s="1" t="s">
        <v>2503</v>
      </c>
      <c r="E11" s="6">
        <v>44390.276678240742</v>
      </c>
      <c r="F11" s="11" t="s">
        <v>2308</v>
      </c>
    </row>
    <row r="12" spans="1:6" x14ac:dyDescent="0.2">
      <c r="A12" s="8" t="s">
        <v>72</v>
      </c>
      <c r="B12" s="1">
        <v>7</v>
      </c>
      <c r="C12" s="1" t="s">
        <v>2509</v>
      </c>
      <c r="D12" s="1" t="s">
        <v>2503</v>
      </c>
      <c r="E12" s="6">
        <v>44390.276701388888</v>
      </c>
      <c r="F12" s="11" t="s">
        <v>2308</v>
      </c>
    </row>
    <row r="13" spans="1:6" x14ac:dyDescent="0.2">
      <c r="A13" s="8" t="s">
        <v>64</v>
      </c>
      <c r="B13" s="1">
        <v>8</v>
      </c>
      <c r="C13" s="1" t="s">
        <v>2509</v>
      </c>
      <c r="D13" s="1" t="s">
        <v>2503</v>
      </c>
      <c r="E13" s="6">
        <v>44390.276828703703</v>
      </c>
      <c r="F13" s="11" t="s">
        <v>2308</v>
      </c>
    </row>
    <row r="14" spans="1:6" x14ac:dyDescent="0.2">
      <c r="A14" s="8" t="s">
        <v>55</v>
      </c>
      <c r="B14" s="1">
        <v>9</v>
      </c>
      <c r="C14" s="1" t="s">
        <v>2509</v>
      </c>
      <c r="D14" s="1" t="s">
        <v>2503</v>
      </c>
      <c r="E14" s="6">
        <v>44390.276956018519</v>
      </c>
      <c r="F14" s="11" t="s">
        <v>2308</v>
      </c>
    </row>
    <row r="15" spans="1:6" x14ac:dyDescent="0.2">
      <c r="A15" s="8" t="s">
        <v>116</v>
      </c>
      <c r="B15" s="1">
        <v>11</v>
      </c>
      <c r="C15" s="1" t="s">
        <v>2510</v>
      </c>
      <c r="D15" s="1" t="s">
        <v>2503</v>
      </c>
      <c r="E15" s="6">
        <v>44390.272800925923</v>
      </c>
      <c r="F15" s="11" t="s">
        <v>2308</v>
      </c>
    </row>
    <row r="16" spans="1:6" x14ac:dyDescent="0.2">
      <c r="A16" s="8" t="s">
        <v>109</v>
      </c>
      <c r="B16" s="1">
        <v>13</v>
      </c>
      <c r="C16" s="1" t="s">
        <v>2511</v>
      </c>
      <c r="D16" s="1" t="s">
        <v>2503</v>
      </c>
      <c r="E16" s="6">
        <v>44390.276307870372</v>
      </c>
      <c r="F16" s="11" t="s">
        <v>2308</v>
      </c>
    </row>
    <row r="17" spans="1:6" x14ac:dyDescent="0.2">
      <c r="A17" s="8" t="s">
        <v>108</v>
      </c>
      <c r="B17" s="1">
        <v>15</v>
      </c>
      <c r="C17" s="1" t="s">
        <v>2512</v>
      </c>
      <c r="D17" s="1" t="s">
        <v>2503</v>
      </c>
      <c r="E17" s="6">
        <v>44390.276307870372</v>
      </c>
      <c r="F17" s="11" t="s">
        <v>2308</v>
      </c>
    </row>
    <row r="18" spans="1:6" x14ac:dyDescent="0.2">
      <c r="A18" s="8" t="s">
        <v>2310</v>
      </c>
      <c r="B18" s="1">
        <v>20</v>
      </c>
      <c r="C18" s="1" t="s">
        <v>2399</v>
      </c>
      <c r="E18" s="6">
        <v>44068.447974537034</v>
      </c>
      <c r="F18" s="11" t="s">
        <v>2311</v>
      </c>
    </row>
    <row r="19" spans="1:6" x14ac:dyDescent="0.2">
      <c r="A19" s="8" t="s">
        <v>71</v>
      </c>
      <c r="B19" s="1">
        <v>70</v>
      </c>
      <c r="C19" s="1" t="s">
        <v>2513</v>
      </c>
      <c r="D19" s="1" t="s">
        <v>2503</v>
      </c>
      <c r="E19" s="6">
        <v>44390.276712962965</v>
      </c>
      <c r="F19" s="11" t="s">
        <v>2308</v>
      </c>
    </row>
    <row r="20" spans="1:6" x14ac:dyDescent="0.2">
      <c r="A20" s="8" t="s">
        <v>106</v>
      </c>
      <c r="B20" s="1">
        <v>21</v>
      </c>
      <c r="C20" s="1" t="s">
        <v>2514</v>
      </c>
      <c r="D20" s="1" t="s">
        <v>2503</v>
      </c>
      <c r="E20" s="6">
        <v>44390.276331018518</v>
      </c>
      <c r="F20" s="11" t="s">
        <v>2308</v>
      </c>
    </row>
    <row r="21" spans="1:6" x14ac:dyDescent="0.2">
      <c r="A21" s="8" t="s">
        <v>105</v>
      </c>
      <c r="B21" s="1">
        <v>22</v>
      </c>
      <c r="C21" s="1" t="s">
        <v>2514</v>
      </c>
      <c r="D21" s="1" t="s">
        <v>2503</v>
      </c>
      <c r="E21" s="6">
        <v>44390.276342592595</v>
      </c>
      <c r="F21" s="11" t="s">
        <v>2308</v>
      </c>
    </row>
    <row r="22" spans="1:6" x14ac:dyDescent="0.2">
      <c r="A22" s="8" t="s">
        <v>104</v>
      </c>
      <c r="B22" s="1">
        <v>23</v>
      </c>
      <c r="C22" s="1" t="s">
        <v>2515</v>
      </c>
      <c r="D22" s="1" t="s">
        <v>2503</v>
      </c>
      <c r="E22" s="6">
        <v>44390.276354166665</v>
      </c>
      <c r="F22" s="11" t="s">
        <v>2308</v>
      </c>
    </row>
    <row r="23" spans="1:6" x14ac:dyDescent="0.2">
      <c r="A23" s="8" t="s">
        <v>103</v>
      </c>
      <c r="B23" s="1">
        <v>24</v>
      </c>
      <c r="C23" s="1" t="s">
        <v>2516</v>
      </c>
      <c r="D23" s="1" t="s">
        <v>2503</v>
      </c>
      <c r="E23" s="6">
        <v>44390.276354166665</v>
      </c>
      <c r="F23" s="11" t="s">
        <v>2308</v>
      </c>
    </row>
    <row r="24" spans="1:6" x14ac:dyDescent="0.2">
      <c r="A24" s="8" t="s">
        <v>102</v>
      </c>
      <c r="B24" s="1">
        <v>25</v>
      </c>
      <c r="C24" s="1" t="s">
        <v>2517</v>
      </c>
      <c r="D24" s="1" t="s">
        <v>2503</v>
      </c>
      <c r="E24" s="6">
        <v>44390.276365740741</v>
      </c>
      <c r="F24" s="11" t="s">
        <v>2308</v>
      </c>
    </row>
    <row r="25" spans="1:6" x14ac:dyDescent="0.2">
      <c r="A25" s="8" t="s">
        <v>2225</v>
      </c>
      <c r="B25" s="1">
        <v>26</v>
      </c>
      <c r="C25" s="1" t="s">
        <v>2518</v>
      </c>
      <c r="D25" s="1" t="s">
        <v>2503</v>
      </c>
      <c r="E25" s="6">
        <v>44390.276377314818</v>
      </c>
      <c r="F25" s="11" t="s">
        <v>2308</v>
      </c>
    </row>
    <row r="26" spans="1:6" x14ac:dyDescent="0.2">
      <c r="A26" s="8" t="s">
        <v>41</v>
      </c>
      <c r="B26" s="1">
        <v>121</v>
      </c>
      <c r="C26" s="1" t="s">
        <v>2399</v>
      </c>
      <c r="E26" s="6">
        <v>44390.276284722226</v>
      </c>
      <c r="F26" s="11" t="s">
        <v>2308</v>
      </c>
    </row>
    <row r="27" spans="1:6" x14ac:dyDescent="0.2">
      <c r="A27" s="8" t="s">
        <v>70</v>
      </c>
      <c r="B27" s="1">
        <v>71</v>
      </c>
      <c r="C27" s="1" t="s">
        <v>2519</v>
      </c>
      <c r="D27" s="1" t="s">
        <v>2503</v>
      </c>
      <c r="E27" s="6">
        <v>44390.276759259257</v>
      </c>
      <c r="F27" s="11" t="s">
        <v>2308</v>
      </c>
    </row>
    <row r="28" spans="1:6" x14ac:dyDescent="0.2">
      <c r="A28" s="8" t="s">
        <v>68</v>
      </c>
      <c r="B28" s="1">
        <v>73</v>
      </c>
      <c r="C28" s="1" t="s">
        <v>2520</v>
      </c>
      <c r="D28" s="1" t="s">
        <v>2503</v>
      </c>
      <c r="E28" s="6">
        <v>44390.276770833334</v>
      </c>
      <c r="F28" s="11" t="s">
        <v>2308</v>
      </c>
    </row>
    <row r="29" spans="1:6" x14ac:dyDescent="0.2">
      <c r="A29" s="8" t="s">
        <v>69</v>
      </c>
      <c r="B29" s="1">
        <v>72</v>
      </c>
      <c r="C29" s="1" t="s">
        <v>2521</v>
      </c>
      <c r="D29" s="1" t="s">
        <v>2503</v>
      </c>
      <c r="E29" s="6">
        <v>44390.276770833334</v>
      </c>
      <c r="F29" s="11" t="s">
        <v>2308</v>
      </c>
    </row>
    <row r="30" spans="1:6" x14ac:dyDescent="0.2">
      <c r="A30" s="8" t="s">
        <v>67</v>
      </c>
      <c r="B30" s="1">
        <v>74</v>
      </c>
      <c r="C30" s="1" t="s">
        <v>2522</v>
      </c>
      <c r="D30" s="1" t="s">
        <v>2503</v>
      </c>
      <c r="E30" s="6">
        <v>44390.276782407411</v>
      </c>
      <c r="F30" s="11" t="s">
        <v>2308</v>
      </c>
    </row>
    <row r="31" spans="1:6" x14ac:dyDescent="0.2">
      <c r="A31" s="8" t="s">
        <v>66</v>
      </c>
      <c r="B31" s="1">
        <v>75</v>
      </c>
      <c r="C31" s="1" t="s">
        <v>2523</v>
      </c>
      <c r="D31" s="1" t="s">
        <v>2503</v>
      </c>
      <c r="E31" s="6">
        <v>44390.27679398148</v>
      </c>
      <c r="F31" s="11" t="s">
        <v>2308</v>
      </c>
    </row>
    <row r="32" spans="1:6" x14ac:dyDescent="0.2">
      <c r="A32" s="8" t="s">
        <v>65</v>
      </c>
      <c r="B32" s="1">
        <v>76</v>
      </c>
      <c r="C32" s="1" t="s">
        <v>2524</v>
      </c>
      <c r="D32" s="1" t="s">
        <v>2503</v>
      </c>
      <c r="E32" s="6">
        <v>44390.27679398148</v>
      </c>
      <c r="F32" s="11" t="s">
        <v>2308</v>
      </c>
    </row>
    <row r="33" spans="1:6" x14ac:dyDescent="0.2">
      <c r="A33" s="8" t="s">
        <v>35</v>
      </c>
      <c r="B33" s="1">
        <v>77</v>
      </c>
      <c r="C33" s="1" t="s">
        <v>2525</v>
      </c>
      <c r="D33" s="1" t="s">
        <v>2503</v>
      </c>
      <c r="E33" s="6">
        <v>44390.276817129627</v>
      </c>
      <c r="F33" s="11" t="s">
        <v>2308</v>
      </c>
    </row>
    <row r="34" spans="1:6" x14ac:dyDescent="0.2">
      <c r="A34" s="8" t="s">
        <v>34</v>
      </c>
      <c r="B34" s="1">
        <v>78</v>
      </c>
      <c r="C34" s="1" t="s">
        <v>2526</v>
      </c>
      <c r="D34" s="1" t="s">
        <v>2503</v>
      </c>
      <c r="E34" s="6">
        <v>44390.276817129627</v>
      </c>
      <c r="F34" s="11" t="s">
        <v>2308</v>
      </c>
    </row>
    <row r="35" spans="1:6" x14ac:dyDescent="0.2">
      <c r="A35" s="8" t="s">
        <v>33</v>
      </c>
      <c r="B35" s="1">
        <v>79</v>
      </c>
      <c r="C35" s="1" t="s">
        <v>2527</v>
      </c>
      <c r="D35" s="1" t="s">
        <v>2503</v>
      </c>
      <c r="E35" s="6">
        <v>44390.276817129627</v>
      </c>
      <c r="F35" s="11" t="s">
        <v>2308</v>
      </c>
    </row>
    <row r="36" spans="1:6" x14ac:dyDescent="0.2">
      <c r="A36" s="8" t="s">
        <v>32</v>
      </c>
      <c r="B36" s="1">
        <v>80</v>
      </c>
      <c r="C36" s="1" t="s">
        <v>2528</v>
      </c>
      <c r="D36" s="1" t="s">
        <v>2503</v>
      </c>
      <c r="E36" s="6">
        <v>44390.27684027778</v>
      </c>
      <c r="F36" s="11" t="s">
        <v>2308</v>
      </c>
    </row>
    <row r="37" spans="1:6" x14ac:dyDescent="0.2">
      <c r="A37" s="8" t="s">
        <v>63</v>
      </c>
      <c r="B37" s="1">
        <v>81</v>
      </c>
      <c r="C37" s="1" t="s">
        <v>2529</v>
      </c>
      <c r="D37" s="1" t="s">
        <v>2503</v>
      </c>
      <c r="E37" s="6">
        <v>44390.27684027778</v>
      </c>
      <c r="F37" s="11" t="s">
        <v>2308</v>
      </c>
    </row>
    <row r="38" spans="1:6" x14ac:dyDescent="0.2">
      <c r="A38" s="8" t="s">
        <v>62</v>
      </c>
      <c r="B38" s="1">
        <v>82</v>
      </c>
      <c r="C38" s="1" t="s">
        <v>2530</v>
      </c>
      <c r="D38" s="1" t="s">
        <v>2503</v>
      </c>
      <c r="E38" s="6">
        <v>44390.27685185185</v>
      </c>
      <c r="F38" s="11" t="s">
        <v>2308</v>
      </c>
    </row>
    <row r="39" spans="1:6" x14ac:dyDescent="0.2">
      <c r="A39" s="8" t="s">
        <v>2312</v>
      </c>
      <c r="B39" s="1">
        <v>83</v>
      </c>
      <c r="C39" s="1" t="s">
        <v>2399</v>
      </c>
      <c r="E39" s="6">
        <v>44390.276863425926</v>
      </c>
      <c r="F39" s="11" t="s">
        <v>2308</v>
      </c>
    </row>
    <row r="40" spans="1:6" x14ac:dyDescent="0.2">
      <c r="A40" s="8" t="s">
        <v>101</v>
      </c>
      <c r="B40" s="1">
        <v>28</v>
      </c>
      <c r="C40" s="1" t="s">
        <v>2531</v>
      </c>
      <c r="D40" s="1" t="s">
        <v>2503</v>
      </c>
      <c r="E40" s="6">
        <v>44390.276377314818</v>
      </c>
      <c r="F40" s="11" t="s">
        <v>2308</v>
      </c>
    </row>
    <row r="41" spans="1:6" x14ac:dyDescent="0.2">
      <c r="A41" s="8" t="s">
        <v>100</v>
      </c>
      <c r="B41" s="1">
        <v>29</v>
      </c>
      <c r="C41" s="1" t="s">
        <v>2532</v>
      </c>
      <c r="D41" s="1" t="s">
        <v>2503</v>
      </c>
      <c r="E41" s="6">
        <v>44390.276388888888</v>
      </c>
      <c r="F41" s="11" t="s">
        <v>2308</v>
      </c>
    </row>
    <row r="42" spans="1:6" x14ac:dyDescent="0.2">
      <c r="A42" s="8" t="s">
        <v>42</v>
      </c>
      <c r="B42" s="1">
        <v>116</v>
      </c>
      <c r="C42" s="1" t="s">
        <v>2399</v>
      </c>
      <c r="E42" s="6">
        <v>44390.276250000003</v>
      </c>
      <c r="F42" s="11" t="s">
        <v>2308</v>
      </c>
    </row>
    <row r="43" spans="1:6" x14ac:dyDescent="0.2">
      <c r="A43" s="8" t="s">
        <v>99</v>
      </c>
      <c r="B43" s="1">
        <v>30</v>
      </c>
      <c r="C43" s="1" t="s">
        <v>2533</v>
      </c>
      <c r="D43" s="1" t="s">
        <v>2503</v>
      </c>
      <c r="E43" s="6">
        <v>44390.276400462964</v>
      </c>
      <c r="F43" s="11" t="s">
        <v>2308</v>
      </c>
    </row>
    <row r="44" spans="1:6" x14ac:dyDescent="0.2">
      <c r="A44" s="8" t="s">
        <v>98</v>
      </c>
      <c r="B44" s="1">
        <v>31</v>
      </c>
      <c r="C44" s="1" t="s">
        <v>2534</v>
      </c>
      <c r="D44" s="1" t="s">
        <v>2503</v>
      </c>
      <c r="E44" s="6">
        <v>44390.276412037034</v>
      </c>
      <c r="F44" s="11" t="s">
        <v>2308</v>
      </c>
    </row>
    <row r="45" spans="1:6" x14ac:dyDescent="0.2">
      <c r="A45" s="8" t="s">
        <v>61</v>
      </c>
      <c r="B45" s="1">
        <v>84</v>
      </c>
      <c r="C45" s="1" t="s">
        <v>2535</v>
      </c>
      <c r="D45" s="1" t="s">
        <v>2503</v>
      </c>
      <c r="E45" s="6">
        <v>44390.276863425926</v>
      </c>
      <c r="F45" s="11" t="s">
        <v>2308</v>
      </c>
    </row>
    <row r="46" spans="1:6" x14ac:dyDescent="0.2">
      <c r="A46" s="8" t="s">
        <v>60</v>
      </c>
      <c r="B46" s="1">
        <v>85</v>
      </c>
      <c r="C46" s="1" t="s">
        <v>2536</v>
      </c>
      <c r="D46" s="1" t="s">
        <v>2503</v>
      </c>
      <c r="E46" s="6">
        <v>44390.276875000003</v>
      </c>
      <c r="F46" s="11" t="s">
        <v>2308</v>
      </c>
    </row>
    <row r="47" spans="1:6" x14ac:dyDescent="0.2">
      <c r="A47" s="8" t="s">
        <v>97</v>
      </c>
      <c r="B47" s="1">
        <v>32</v>
      </c>
      <c r="C47" s="1" t="s">
        <v>2537</v>
      </c>
      <c r="D47" s="1" t="s">
        <v>2503</v>
      </c>
      <c r="E47" s="6">
        <v>44390.276423611111</v>
      </c>
      <c r="F47" s="11" t="s">
        <v>2308</v>
      </c>
    </row>
    <row r="48" spans="1:6" x14ac:dyDescent="0.2">
      <c r="A48" s="8" t="s">
        <v>96</v>
      </c>
      <c r="B48" s="1">
        <v>33</v>
      </c>
      <c r="C48" s="1" t="s">
        <v>2538</v>
      </c>
      <c r="D48" s="1" t="s">
        <v>2503</v>
      </c>
      <c r="E48" s="6">
        <v>44390.276435185187</v>
      </c>
      <c r="F48" s="11" t="s">
        <v>2308</v>
      </c>
    </row>
    <row r="49" spans="1:6" x14ac:dyDescent="0.2">
      <c r="A49" s="8" t="s">
        <v>127</v>
      </c>
      <c r="B49" s="1">
        <v>33</v>
      </c>
      <c r="C49" s="1" t="s">
        <v>2538</v>
      </c>
      <c r="D49" s="1" t="s">
        <v>2503</v>
      </c>
      <c r="E49" s="6">
        <v>44068.473136574074</v>
      </c>
      <c r="F49" s="11" t="s">
        <v>2311</v>
      </c>
    </row>
    <row r="50" spans="1:6" x14ac:dyDescent="0.2">
      <c r="A50" s="8" t="s">
        <v>2313</v>
      </c>
      <c r="B50" s="1">
        <v>34</v>
      </c>
      <c r="C50" s="1" t="s">
        <v>2539</v>
      </c>
      <c r="D50" s="1" t="s">
        <v>2503</v>
      </c>
      <c r="E50" s="6">
        <v>44390.276435185187</v>
      </c>
      <c r="F50" s="11" t="s">
        <v>2308</v>
      </c>
    </row>
    <row r="51" spans="1:6" x14ac:dyDescent="0.2">
      <c r="A51" s="8" t="s">
        <v>59</v>
      </c>
      <c r="B51" s="1">
        <v>86</v>
      </c>
      <c r="C51" s="1" t="s">
        <v>2540</v>
      </c>
      <c r="D51" s="1" t="s">
        <v>2503</v>
      </c>
      <c r="E51" s="6">
        <v>44390.276909722219</v>
      </c>
      <c r="F51" s="11" t="s">
        <v>2308</v>
      </c>
    </row>
    <row r="52" spans="1:6" x14ac:dyDescent="0.2">
      <c r="A52" s="8" t="s">
        <v>58</v>
      </c>
      <c r="B52" s="1">
        <v>87</v>
      </c>
      <c r="C52" s="1" t="s">
        <v>2540</v>
      </c>
      <c r="D52" s="1" t="s">
        <v>2503</v>
      </c>
      <c r="E52" s="6">
        <v>44390.276921296296</v>
      </c>
      <c r="F52" s="11" t="s">
        <v>2308</v>
      </c>
    </row>
    <row r="53" spans="1:6" x14ac:dyDescent="0.2">
      <c r="A53" s="8" t="s">
        <v>57</v>
      </c>
      <c r="B53" s="1">
        <v>88</v>
      </c>
      <c r="C53" s="1" t="s">
        <v>2540</v>
      </c>
      <c r="D53" s="1" t="s">
        <v>2503</v>
      </c>
      <c r="E53" s="6">
        <v>44390.276932870373</v>
      </c>
      <c r="F53" s="11" t="s">
        <v>2308</v>
      </c>
    </row>
    <row r="54" spans="1:6" x14ac:dyDescent="0.2">
      <c r="A54" s="8" t="s">
        <v>95</v>
      </c>
      <c r="B54" s="1">
        <v>38</v>
      </c>
      <c r="C54" s="1" t="s">
        <v>2541</v>
      </c>
      <c r="D54" s="1" t="s">
        <v>2503</v>
      </c>
      <c r="E54" s="6">
        <v>44390.276446759257</v>
      </c>
      <c r="F54" s="11" t="s">
        <v>2308</v>
      </c>
    </row>
    <row r="55" spans="1:6" x14ac:dyDescent="0.2">
      <c r="A55" s="8" t="s">
        <v>56</v>
      </c>
      <c r="B55" s="1">
        <v>89</v>
      </c>
      <c r="C55" s="1" t="s">
        <v>2542</v>
      </c>
      <c r="D55" s="1" t="s">
        <v>2503</v>
      </c>
      <c r="E55" s="6">
        <v>44390.276944444442</v>
      </c>
      <c r="F55" s="11" t="s">
        <v>2308</v>
      </c>
    </row>
    <row r="56" spans="1:6" x14ac:dyDescent="0.2">
      <c r="A56" s="8" t="s">
        <v>54</v>
      </c>
      <c r="B56" s="1">
        <v>90</v>
      </c>
      <c r="C56" s="1" t="s">
        <v>2542</v>
      </c>
      <c r="D56" s="1" t="s">
        <v>2503</v>
      </c>
      <c r="E56" s="6">
        <v>44390.276956018519</v>
      </c>
      <c r="F56" s="11" t="s">
        <v>2308</v>
      </c>
    </row>
    <row r="57" spans="1:6" x14ac:dyDescent="0.2">
      <c r="A57" s="8" t="s">
        <v>111</v>
      </c>
      <c r="B57" s="1">
        <v>120</v>
      </c>
      <c r="C57" s="1" t="s">
        <v>2399</v>
      </c>
      <c r="E57" s="6">
        <v>44390.276273148149</v>
      </c>
      <c r="F57" s="11" t="s">
        <v>2308</v>
      </c>
    </row>
    <row r="58" spans="1:6" x14ac:dyDescent="0.2">
      <c r="A58" s="8" t="s">
        <v>94</v>
      </c>
      <c r="B58" s="1">
        <v>39</v>
      </c>
      <c r="C58" s="1" t="s">
        <v>2543</v>
      </c>
      <c r="D58" s="1" t="s">
        <v>2503</v>
      </c>
      <c r="E58" s="6">
        <v>44390.276458333334</v>
      </c>
      <c r="F58" s="11" t="s">
        <v>2308</v>
      </c>
    </row>
    <row r="59" spans="1:6" x14ac:dyDescent="0.2">
      <c r="A59" s="8" t="s">
        <v>53</v>
      </c>
      <c r="B59" s="1">
        <v>91</v>
      </c>
      <c r="C59" s="1" t="s">
        <v>2543</v>
      </c>
      <c r="D59" s="1" t="s">
        <v>2503</v>
      </c>
      <c r="E59" s="6">
        <v>44390.276967592596</v>
      </c>
      <c r="F59" s="11" t="s">
        <v>2308</v>
      </c>
    </row>
    <row r="60" spans="1:6" x14ac:dyDescent="0.2">
      <c r="A60" s="8" t="s">
        <v>52</v>
      </c>
      <c r="B60" s="1">
        <v>92</v>
      </c>
      <c r="C60" s="1" t="s">
        <v>2543</v>
      </c>
      <c r="D60" s="1" t="s">
        <v>2503</v>
      </c>
      <c r="E60" s="6">
        <v>44390.276979166665</v>
      </c>
      <c r="F60" s="11" t="s">
        <v>2308</v>
      </c>
    </row>
    <row r="61" spans="1:6" x14ac:dyDescent="0.2">
      <c r="A61" s="8" t="s">
        <v>129</v>
      </c>
      <c r="B61" s="1">
        <v>93</v>
      </c>
      <c r="C61" s="1" t="s">
        <v>2543</v>
      </c>
      <c r="D61" s="1" t="s">
        <v>2503</v>
      </c>
      <c r="E61" s="6">
        <v>44060.291342592594</v>
      </c>
      <c r="F61" s="11" t="s">
        <v>2314</v>
      </c>
    </row>
    <row r="62" spans="1:6" x14ac:dyDescent="0.2">
      <c r="A62" s="8" t="s">
        <v>128</v>
      </c>
      <c r="B62" s="1">
        <v>94</v>
      </c>
      <c r="C62" s="1" t="s">
        <v>2543</v>
      </c>
      <c r="D62" s="1" t="s">
        <v>2503</v>
      </c>
      <c r="E62" s="6">
        <v>44060.291342592594</v>
      </c>
      <c r="F62" s="11" t="s">
        <v>2314</v>
      </c>
    </row>
    <row r="63" spans="1:6" x14ac:dyDescent="0.2">
      <c r="A63" s="8" t="s">
        <v>51</v>
      </c>
      <c r="B63" s="1">
        <v>93</v>
      </c>
      <c r="C63" s="1" t="s">
        <v>2543</v>
      </c>
      <c r="D63" s="1" t="s">
        <v>2503</v>
      </c>
      <c r="E63" s="6">
        <v>44390.276979166665</v>
      </c>
      <c r="F63" s="11" t="s">
        <v>2308</v>
      </c>
    </row>
    <row r="64" spans="1:6" x14ac:dyDescent="0.2">
      <c r="A64" s="8" t="s">
        <v>50</v>
      </c>
      <c r="B64" s="1">
        <v>94</v>
      </c>
      <c r="C64" s="1" t="s">
        <v>2543</v>
      </c>
      <c r="D64" s="1" t="s">
        <v>2503</v>
      </c>
      <c r="E64" s="6">
        <v>44390.276990740742</v>
      </c>
      <c r="F64" s="11" t="s">
        <v>2308</v>
      </c>
    </row>
    <row r="65" spans="1:6" x14ac:dyDescent="0.2">
      <c r="A65" s="8" t="s">
        <v>49</v>
      </c>
      <c r="B65" s="1">
        <v>95</v>
      </c>
      <c r="C65" s="1" t="s">
        <v>2544</v>
      </c>
      <c r="D65" s="1" t="s">
        <v>2503</v>
      </c>
      <c r="E65" s="6">
        <v>44390.276990740742</v>
      </c>
      <c r="F65" s="11" t="s">
        <v>2308</v>
      </c>
    </row>
    <row r="66" spans="1:6" x14ac:dyDescent="0.2">
      <c r="A66" s="8" t="s">
        <v>48</v>
      </c>
      <c r="B66" s="1">
        <v>96</v>
      </c>
      <c r="C66" s="1" t="s">
        <v>2544</v>
      </c>
      <c r="D66" s="1" t="s">
        <v>2503</v>
      </c>
      <c r="E66" s="6">
        <v>44390.277002314811</v>
      </c>
      <c r="F66" s="11" t="s">
        <v>2308</v>
      </c>
    </row>
    <row r="67" spans="1:6" x14ac:dyDescent="0.2">
      <c r="A67" s="8" t="s">
        <v>47</v>
      </c>
      <c r="B67" s="1">
        <v>97</v>
      </c>
      <c r="C67" s="1" t="s">
        <v>2399</v>
      </c>
      <c r="E67" s="6">
        <v>44390.277013888888</v>
      </c>
      <c r="F67" s="11" t="s">
        <v>2308</v>
      </c>
    </row>
    <row r="68" spans="1:6" x14ac:dyDescent="0.2">
      <c r="A68" s="8" t="s">
        <v>46</v>
      </c>
      <c r="B68" s="1">
        <v>98</v>
      </c>
      <c r="C68" s="1" t="s">
        <v>2545</v>
      </c>
      <c r="D68" s="1" t="s">
        <v>2503</v>
      </c>
      <c r="E68" s="6">
        <v>44390.277013888888</v>
      </c>
      <c r="F68" s="11" t="s">
        <v>2308</v>
      </c>
    </row>
    <row r="69" spans="1:6" x14ac:dyDescent="0.2">
      <c r="A69" s="8" t="s">
        <v>45</v>
      </c>
      <c r="B69" s="1">
        <v>99</v>
      </c>
      <c r="C69" s="1" t="s">
        <v>2546</v>
      </c>
      <c r="D69" s="1" t="s">
        <v>2503</v>
      </c>
      <c r="E69" s="6">
        <v>44390.277025462965</v>
      </c>
      <c r="F69" s="11" t="s">
        <v>2308</v>
      </c>
    </row>
    <row r="70" spans="1:6" x14ac:dyDescent="0.2">
      <c r="A70" s="8" t="s">
        <v>124</v>
      </c>
      <c r="B70" s="1">
        <v>100</v>
      </c>
      <c r="C70" s="1" t="s">
        <v>2547</v>
      </c>
      <c r="D70" s="1" t="s">
        <v>2503</v>
      </c>
      <c r="E70" s="6">
        <v>44390.272731481484</v>
      </c>
      <c r="F70" s="11" t="s">
        <v>2308</v>
      </c>
    </row>
    <row r="71" spans="1:6" x14ac:dyDescent="0.2">
      <c r="A71" s="8" t="s">
        <v>123</v>
      </c>
      <c r="B71" s="1">
        <v>101</v>
      </c>
      <c r="C71" s="1" t="s">
        <v>2548</v>
      </c>
      <c r="D71" s="1" t="s">
        <v>2503</v>
      </c>
      <c r="E71" s="6">
        <v>44390.272743055553</v>
      </c>
      <c r="F71" s="11" t="s">
        <v>2308</v>
      </c>
    </row>
    <row r="72" spans="1:6" x14ac:dyDescent="0.2">
      <c r="A72" s="8" t="s">
        <v>93</v>
      </c>
      <c r="B72" s="1">
        <v>42</v>
      </c>
      <c r="C72" s="1" t="s">
        <v>2549</v>
      </c>
      <c r="D72" s="1" t="s">
        <v>2503</v>
      </c>
      <c r="E72" s="6">
        <v>44390.276493055557</v>
      </c>
      <c r="F72" s="11" t="s">
        <v>2308</v>
      </c>
    </row>
    <row r="73" spans="1:6" x14ac:dyDescent="0.2">
      <c r="A73" s="8" t="s">
        <v>92</v>
      </c>
      <c r="B73" s="1">
        <v>43</v>
      </c>
      <c r="C73" s="1" t="s">
        <v>2550</v>
      </c>
      <c r="D73" s="1" t="s">
        <v>2503</v>
      </c>
      <c r="E73" s="6">
        <v>44390.276493055557</v>
      </c>
      <c r="F73" s="11" t="s">
        <v>2308</v>
      </c>
    </row>
    <row r="74" spans="1:6" x14ac:dyDescent="0.2">
      <c r="A74" s="8" t="s">
        <v>122</v>
      </c>
      <c r="B74" s="1">
        <v>102</v>
      </c>
      <c r="C74" s="1" t="s">
        <v>2551</v>
      </c>
      <c r="D74" s="1" t="s">
        <v>2503</v>
      </c>
      <c r="E74" s="6">
        <v>44390.27275462963</v>
      </c>
      <c r="F74" s="11" t="s">
        <v>2308</v>
      </c>
    </row>
    <row r="75" spans="1:6" x14ac:dyDescent="0.2">
      <c r="A75" s="8" t="s">
        <v>91</v>
      </c>
      <c r="B75" s="1">
        <v>44</v>
      </c>
      <c r="C75" s="1" t="s">
        <v>2552</v>
      </c>
      <c r="D75" s="1" t="s">
        <v>2503</v>
      </c>
      <c r="E75" s="6">
        <v>44390.276493055557</v>
      </c>
      <c r="F75" s="11" t="s">
        <v>2308</v>
      </c>
    </row>
    <row r="76" spans="1:6" x14ac:dyDescent="0.2">
      <c r="A76" s="8" t="s">
        <v>90</v>
      </c>
      <c r="B76" s="1">
        <v>46</v>
      </c>
      <c r="C76" s="1" t="s">
        <v>2553</v>
      </c>
      <c r="D76" s="1" t="s">
        <v>2503</v>
      </c>
      <c r="E76" s="6">
        <v>44390.276504629626</v>
      </c>
      <c r="F76" s="11" t="s">
        <v>2308</v>
      </c>
    </row>
    <row r="77" spans="1:6" x14ac:dyDescent="0.2">
      <c r="A77" s="8" t="s">
        <v>89</v>
      </c>
      <c r="B77" s="1">
        <v>47</v>
      </c>
      <c r="C77" s="1" t="s">
        <v>2554</v>
      </c>
      <c r="D77" s="1" t="s">
        <v>2503</v>
      </c>
      <c r="E77" s="6">
        <v>44390.276516203703</v>
      </c>
      <c r="F77" s="11" t="s">
        <v>2308</v>
      </c>
    </row>
    <row r="78" spans="1:6" x14ac:dyDescent="0.2">
      <c r="A78" s="8" t="s">
        <v>88</v>
      </c>
      <c r="B78" s="1">
        <v>48</v>
      </c>
      <c r="C78" s="1" t="s">
        <v>2553</v>
      </c>
      <c r="D78" s="1" t="s">
        <v>2503</v>
      </c>
      <c r="E78" s="6">
        <v>44390.276516203703</v>
      </c>
      <c r="F78" s="11" t="s">
        <v>2308</v>
      </c>
    </row>
    <row r="79" spans="1:6" x14ac:dyDescent="0.2">
      <c r="A79" s="8" t="s">
        <v>87</v>
      </c>
      <c r="B79" s="1">
        <v>49</v>
      </c>
      <c r="C79" s="1" t="s">
        <v>2553</v>
      </c>
      <c r="D79" s="1" t="s">
        <v>2503</v>
      </c>
      <c r="E79" s="6">
        <v>44390.27652777778</v>
      </c>
      <c r="F79" s="11" t="s">
        <v>2308</v>
      </c>
    </row>
    <row r="80" spans="1:6" x14ac:dyDescent="0.2">
      <c r="A80" s="8" t="s">
        <v>121</v>
      </c>
      <c r="B80" s="1">
        <v>103</v>
      </c>
      <c r="C80" s="1" t="s">
        <v>2555</v>
      </c>
      <c r="D80" s="1" t="s">
        <v>2503</v>
      </c>
      <c r="E80" s="6">
        <v>44390.27275462963</v>
      </c>
      <c r="F80" s="11" t="s">
        <v>2308</v>
      </c>
    </row>
    <row r="81" spans="1:6" x14ac:dyDescent="0.2">
      <c r="A81" s="8" t="s">
        <v>85</v>
      </c>
      <c r="B81" s="1">
        <v>50</v>
      </c>
      <c r="C81" s="1" t="s">
        <v>2555</v>
      </c>
      <c r="D81" s="1" t="s">
        <v>2503</v>
      </c>
      <c r="E81" s="6">
        <v>44390.276550925926</v>
      </c>
      <c r="F81" s="11" t="s">
        <v>2308</v>
      </c>
    </row>
    <row r="82" spans="1:6" x14ac:dyDescent="0.2">
      <c r="A82" s="8" t="s">
        <v>84</v>
      </c>
      <c r="B82" s="1">
        <v>51</v>
      </c>
      <c r="C82" s="1" t="s">
        <v>2555</v>
      </c>
      <c r="D82" s="1" t="s">
        <v>2503</v>
      </c>
      <c r="E82" s="6">
        <v>44390.276562500003</v>
      </c>
      <c r="F82" s="11" t="s">
        <v>2308</v>
      </c>
    </row>
    <row r="83" spans="1:6" x14ac:dyDescent="0.2">
      <c r="A83" s="8" t="s">
        <v>83</v>
      </c>
      <c r="B83" s="1">
        <v>52</v>
      </c>
      <c r="C83" s="1" t="s">
        <v>2555</v>
      </c>
      <c r="D83" s="1" t="s">
        <v>2503</v>
      </c>
      <c r="E83" s="6">
        <v>44390.276574074072</v>
      </c>
      <c r="F83" s="11" t="s">
        <v>2308</v>
      </c>
    </row>
    <row r="84" spans="1:6" x14ac:dyDescent="0.2">
      <c r="A84" s="8" t="s">
        <v>120</v>
      </c>
      <c r="B84" s="1">
        <v>104</v>
      </c>
      <c r="C84" s="1" t="s">
        <v>2556</v>
      </c>
      <c r="D84" s="1" t="s">
        <v>2503</v>
      </c>
      <c r="E84" s="6">
        <v>44390.272766203707</v>
      </c>
      <c r="F84" s="11" t="s">
        <v>2308</v>
      </c>
    </row>
    <row r="85" spans="1:6" x14ac:dyDescent="0.2">
      <c r="A85" s="8" t="s">
        <v>119</v>
      </c>
      <c r="B85" s="1">
        <v>105</v>
      </c>
      <c r="C85" s="1" t="s">
        <v>2557</v>
      </c>
      <c r="D85" s="1" t="s">
        <v>2503</v>
      </c>
      <c r="E85" s="6">
        <v>44390.272777777776</v>
      </c>
      <c r="F85" s="11" t="s">
        <v>2308</v>
      </c>
    </row>
    <row r="86" spans="1:6" x14ac:dyDescent="0.2">
      <c r="A86" s="8" t="s">
        <v>115</v>
      </c>
      <c r="B86" s="1">
        <v>110</v>
      </c>
      <c r="C86" s="1" t="s">
        <v>2558</v>
      </c>
      <c r="D86" s="1" t="s">
        <v>2503</v>
      </c>
      <c r="E86" s="6">
        <v>44390.272800925923</v>
      </c>
      <c r="F86" s="11" t="s">
        <v>2308</v>
      </c>
    </row>
    <row r="87" spans="1:6" x14ac:dyDescent="0.2">
      <c r="A87" s="8" t="s">
        <v>118</v>
      </c>
      <c r="B87" s="1">
        <v>106</v>
      </c>
      <c r="C87" s="1" t="s">
        <v>2559</v>
      </c>
      <c r="D87" s="1" t="s">
        <v>2503</v>
      </c>
      <c r="E87" s="6">
        <v>44390.272777777776</v>
      </c>
      <c r="F87" s="11" t="s">
        <v>2308</v>
      </c>
    </row>
    <row r="88" spans="1:6" x14ac:dyDescent="0.2">
      <c r="A88" s="8" t="s">
        <v>82</v>
      </c>
      <c r="B88" s="1">
        <v>54</v>
      </c>
      <c r="C88" s="1" t="s">
        <v>2560</v>
      </c>
      <c r="D88" s="1" t="s">
        <v>2503</v>
      </c>
      <c r="E88" s="6">
        <v>44390.276574074072</v>
      </c>
      <c r="F88" s="11" t="s">
        <v>2308</v>
      </c>
    </row>
    <row r="89" spans="1:6" x14ac:dyDescent="0.2">
      <c r="A89" s="8" t="s">
        <v>110</v>
      </c>
      <c r="B89" s="1">
        <v>123</v>
      </c>
      <c r="C89" s="1" t="s">
        <v>2560</v>
      </c>
      <c r="D89" s="1" t="s">
        <v>2503</v>
      </c>
      <c r="E89" s="6">
        <v>44390.276296296295</v>
      </c>
      <c r="F89" s="11" t="s">
        <v>2308</v>
      </c>
    </row>
    <row r="90" spans="1:6" x14ac:dyDescent="0.2">
      <c r="A90" s="8" t="s">
        <v>126</v>
      </c>
      <c r="B90" s="1">
        <v>123</v>
      </c>
      <c r="C90" s="1" t="s">
        <v>2560</v>
      </c>
      <c r="D90" s="1" t="s">
        <v>2503</v>
      </c>
      <c r="E90" s="6">
        <v>44260.412118055552</v>
      </c>
      <c r="F90" s="11" t="s">
        <v>2308</v>
      </c>
    </row>
    <row r="91" spans="1:6" x14ac:dyDescent="0.2">
      <c r="A91" s="8" t="s">
        <v>81</v>
      </c>
      <c r="B91" s="1">
        <v>56</v>
      </c>
      <c r="C91" s="1" t="s">
        <v>2560</v>
      </c>
      <c r="D91" s="1" t="s">
        <v>2503</v>
      </c>
      <c r="E91" s="6">
        <v>44390.276585648149</v>
      </c>
      <c r="F91" s="11" t="s">
        <v>2308</v>
      </c>
    </row>
    <row r="92" spans="1:6" x14ac:dyDescent="0.2">
      <c r="A92" s="8" t="s">
        <v>113</v>
      </c>
      <c r="B92" s="1">
        <v>114</v>
      </c>
      <c r="C92" s="1" t="s">
        <v>2582</v>
      </c>
      <c r="D92" s="1" t="s">
        <v>2503</v>
      </c>
      <c r="E92" s="6">
        <v>44390.272824074076</v>
      </c>
      <c r="F92" s="11" t="s">
        <v>2308</v>
      </c>
    </row>
    <row r="93" spans="1:6" x14ac:dyDescent="0.2">
      <c r="A93" s="8" t="s">
        <v>2315</v>
      </c>
      <c r="B93" s="1">
        <v>115</v>
      </c>
      <c r="C93" s="1" t="s">
        <v>2582</v>
      </c>
      <c r="D93" s="1" t="s">
        <v>2503</v>
      </c>
      <c r="E93" s="6">
        <v>44252.25503472222</v>
      </c>
      <c r="F93" s="11" t="s">
        <v>2314</v>
      </c>
    </row>
    <row r="94" spans="1:6" x14ac:dyDescent="0.2">
      <c r="A94" s="8" t="s">
        <v>80</v>
      </c>
      <c r="B94" s="1">
        <v>57</v>
      </c>
      <c r="C94" s="1" t="s">
        <v>2582</v>
      </c>
      <c r="D94" s="1" t="s">
        <v>2503</v>
      </c>
      <c r="E94" s="6">
        <v>44390.276597222219</v>
      </c>
      <c r="F94" s="11" t="s">
        <v>2308</v>
      </c>
    </row>
    <row r="95" spans="1:6" x14ac:dyDescent="0.2">
      <c r="A95" s="8" t="s">
        <v>79</v>
      </c>
      <c r="B95" s="1">
        <v>58</v>
      </c>
      <c r="C95" s="1" t="s">
        <v>2582</v>
      </c>
      <c r="D95" s="1" t="s">
        <v>2503</v>
      </c>
      <c r="E95" s="6">
        <v>44390.276608796295</v>
      </c>
      <c r="F95" s="11" t="s">
        <v>2308</v>
      </c>
    </row>
    <row r="96" spans="1:6" x14ac:dyDescent="0.2">
      <c r="A96" s="8" t="s">
        <v>114</v>
      </c>
      <c r="B96" s="1">
        <v>111</v>
      </c>
      <c r="C96" s="1" t="s">
        <v>2561</v>
      </c>
      <c r="D96" s="1" t="s">
        <v>2503</v>
      </c>
      <c r="E96" s="6">
        <v>44390.272812499999</v>
      </c>
      <c r="F96" s="11" t="s">
        <v>2308</v>
      </c>
    </row>
    <row r="97" spans="1:6" x14ac:dyDescent="0.2">
      <c r="A97" s="8" t="s">
        <v>78</v>
      </c>
      <c r="B97" s="1">
        <v>60</v>
      </c>
      <c r="C97" s="1" t="s">
        <v>2562</v>
      </c>
      <c r="D97" s="1" t="s">
        <v>2503</v>
      </c>
      <c r="E97" s="6">
        <v>44390.276608796295</v>
      </c>
      <c r="F97" s="11" t="s">
        <v>2308</v>
      </c>
    </row>
    <row r="98" spans="1:6" x14ac:dyDescent="0.2">
      <c r="A98" s="8" t="s">
        <v>77</v>
      </c>
      <c r="B98" s="1">
        <v>61</v>
      </c>
      <c r="C98" s="1" t="s">
        <v>2561</v>
      </c>
      <c r="D98" s="1" t="s">
        <v>2503</v>
      </c>
      <c r="E98" s="6">
        <v>44390.276620370372</v>
      </c>
      <c r="F98" s="11" t="s">
        <v>2308</v>
      </c>
    </row>
    <row r="99" spans="1:6" x14ac:dyDescent="0.2">
      <c r="A99" s="8" t="s">
        <v>76</v>
      </c>
      <c r="B99" s="1">
        <v>62</v>
      </c>
      <c r="C99" s="1" t="s">
        <v>2563</v>
      </c>
      <c r="D99" s="1" t="s">
        <v>2503</v>
      </c>
      <c r="E99" s="6">
        <v>44390.276631944442</v>
      </c>
      <c r="F99" s="11" t="s">
        <v>2308</v>
      </c>
    </row>
    <row r="100" spans="1:6" x14ac:dyDescent="0.2">
      <c r="A100" s="8" t="s">
        <v>117</v>
      </c>
      <c r="B100" s="1">
        <v>107</v>
      </c>
      <c r="C100" s="1" t="s">
        <v>2564</v>
      </c>
      <c r="D100" s="1" t="s">
        <v>2503</v>
      </c>
      <c r="E100" s="6">
        <v>44390.272789351853</v>
      </c>
      <c r="F100" s="11" t="s">
        <v>2308</v>
      </c>
    </row>
    <row r="101" spans="1:6" x14ac:dyDescent="0.2">
      <c r="A101" s="8" t="s">
        <v>125</v>
      </c>
      <c r="B101" s="1">
        <v>108</v>
      </c>
      <c r="C101" s="1" t="s">
        <v>2565</v>
      </c>
      <c r="D101" s="1" t="s">
        <v>2503</v>
      </c>
      <c r="E101" s="6">
        <v>44260.414710648147</v>
      </c>
      <c r="F101" s="11" t="s">
        <v>2308</v>
      </c>
    </row>
    <row r="102" spans="1:6" x14ac:dyDescent="0.2">
      <c r="A102" s="8" t="s">
        <v>75</v>
      </c>
      <c r="B102" s="1">
        <v>64</v>
      </c>
      <c r="C102" s="1" t="s">
        <v>2566</v>
      </c>
      <c r="D102" s="1" t="s">
        <v>2503</v>
      </c>
      <c r="E102" s="6">
        <v>44390.276631944442</v>
      </c>
      <c r="F102" s="11" t="s">
        <v>2308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J347"/>
  <sheetViews>
    <sheetView workbookViewId="0">
      <selection activeCell="D9" sqref="D9"/>
    </sheetView>
  </sheetViews>
  <sheetFormatPr baseColWidth="10" defaultRowHeight="15" x14ac:dyDescent="0.2"/>
  <cols>
    <col min="1" max="1" width="5.1640625" bestFit="1" customWidth="1"/>
    <col min="2" max="2" width="37.1640625" bestFit="1" customWidth="1"/>
    <col min="3" max="3" width="14.5" bestFit="1" customWidth="1"/>
    <col min="4" max="4" width="32" bestFit="1" customWidth="1"/>
    <col min="5" max="5" width="15.6640625" bestFit="1" customWidth="1"/>
    <col min="6" max="6" width="28.83203125" bestFit="1" customWidth="1"/>
    <col min="7" max="7" width="15.6640625" bestFit="1" customWidth="1"/>
    <col min="8" max="8" width="28.83203125" bestFit="1" customWidth="1"/>
    <col min="9" max="9" width="12.1640625" bestFit="1" customWidth="1"/>
    <col min="10" max="10" width="57.5" bestFit="1" customWidth="1"/>
  </cols>
  <sheetData>
    <row r="1" spans="1:10" x14ac:dyDescent="0.2">
      <c r="A1" t="s">
        <v>1343</v>
      </c>
      <c r="B1" t="s">
        <v>2084</v>
      </c>
      <c r="C1" t="s">
        <v>2085</v>
      </c>
      <c r="D1" t="s">
        <v>2086</v>
      </c>
      <c r="E1" t="s">
        <v>151</v>
      </c>
      <c r="F1" t="s">
        <v>152</v>
      </c>
      <c r="G1" t="s">
        <v>150</v>
      </c>
      <c r="H1" t="s">
        <v>153</v>
      </c>
      <c r="I1" t="s">
        <v>155</v>
      </c>
      <c r="J1" t="s">
        <v>156</v>
      </c>
    </row>
    <row r="2" spans="1:10" x14ac:dyDescent="0.2">
      <c r="A2" s="9">
        <v>347</v>
      </c>
      <c r="B2" s="3" t="s">
        <v>2087</v>
      </c>
      <c r="C2" s="3" t="s">
        <v>2088</v>
      </c>
      <c r="D2" s="3" t="s">
        <v>2089</v>
      </c>
      <c r="E2" s="6">
        <v>44390.277025462965</v>
      </c>
      <c r="F2" s="3" t="s">
        <v>183</v>
      </c>
      <c r="G2" s="6">
        <v>44390.277025462965</v>
      </c>
      <c r="H2" s="3" t="s">
        <v>183</v>
      </c>
      <c r="I2" s="3" t="s">
        <v>170</v>
      </c>
      <c r="J2" s="3" t="s">
        <v>2090</v>
      </c>
    </row>
    <row r="3" spans="1:10" x14ac:dyDescent="0.2">
      <c r="A3" s="9">
        <v>346</v>
      </c>
      <c r="B3" s="3" t="s">
        <v>2091</v>
      </c>
      <c r="C3" s="3" t="s">
        <v>2092</v>
      </c>
      <c r="D3" s="3" t="s">
        <v>2093</v>
      </c>
      <c r="E3" s="6">
        <v>44390.277013888888</v>
      </c>
      <c r="F3" s="3" t="s">
        <v>183</v>
      </c>
      <c r="G3" s="6">
        <v>44390.277013888888</v>
      </c>
      <c r="H3" s="3" t="s">
        <v>183</v>
      </c>
      <c r="I3" s="3" t="s">
        <v>170</v>
      </c>
      <c r="J3" s="3" t="s">
        <v>2090</v>
      </c>
    </row>
    <row r="4" spans="1:10" x14ac:dyDescent="0.2">
      <c r="A4" s="9">
        <v>345</v>
      </c>
      <c r="B4" s="3" t="s">
        <v>2094</v>
      </c>
      <c r="C4" s="3" t="s">
        <v>2095</v>
      </c>
      <c r="D4" s="3" t="s">
        <v>2096</v>
      </c>
      <c r="E4" s="6">
        <v>44390.277013888888</v>
      </c>
      <c r="F4" s="3" t="s">
        <v>183</v>
      </c>
      <c r="G4" s="6">
        <v>44390.277013888888</v>
      </c>
      <c r="H4" s="3" t="s">
        <v>183</v>
      </c>
      <c r="I4" s="3" t="s">
        <v>170</v>
      </c>
      <c r="J4" s="3" t="s">
        <v>2090</v>
      </c>
    </row>
    <row r="5" spans="1:10" x14ac:dyDescent="0.2">
      <c r="A5" s="9">
        <v>344</v>
      </c>
      <c r="B5" s="3" t="s">
        <v>2097</v>
      </c>
      <c r="C5" s="3" t="s">
        <v>2098</v>
      </c>
      <c r="D5" s="3" t="s">
        <v>2096</v>
      </c>
      <c r="E5" s="6">
        <v>44390.277002314811</v>
      </c>
      <c r="F5" s="3" t="s">
        <v>183</v>
      </c>
      <c r="G5" s="6">
        <v>44390.277002314811</v>
      </c>
      <c r="H5" s="3" t="s">
        <v>183</v>
      </c>
      <c r="I5" s="3" t="s">
        <v>170</v>
      </c>
      <c r="J5" s="3" t="s">
        <v>2090</v>
      </c>
    </row>
    <row r="6" spans="1:10" x14ac:dyDescent="0.2">
      <c r="A6" s="9">
        <v>343</v>
      </c>
      <c r="B6" s="3" t="s">
        <v>2099</v>
      </c>
      <c r="C6" s="3" t="s">
        <v>2100</v>
      </c>
      <c r="D6" s="3" t="s">
        <v>2096</v>
      </c>
      <c r="E6" s="6">
        <v>44390.276990740742</v>
      </c>
      <c r="F6" s="3" t="s">
        <v>183</v>
      </c>
      <c r="G6" s="6">
        <v>44390.276990740742</v>
      </c>
      <c r="H6" s="3" t="s">
        <v>183</v>
      </c>
      <c r="I6" s="3" t="s">
        <v>170</v>
      </c>
      <c r="J6" s="3" t="s">
        <v>2090</v>
      </c>
    </row>
    <row r="7" spans="1:10" x14ac:dyDescent="0.2">
      <c r="A7" s="9">
        <v>342</v>
      </c>
      <c r="B7" s="3" t="s">
        <v>2101</v>
      </c>
      <c r="C7" s="3" t="s">
        <v>2102</v>
      </c>
      <c r="D7" s="3" t="s">
        <v>2103</v>
      </c>
      <c r="E7" s="6">
        <v>44390.276990740742</v>
      </c>
      <c r="F7" s="3" t="s">
        <v>183</v>
      </c>
      <c r="G7" s="6">
        <v>44390.276990740742</v>
      </c>
      <c r="H7" s="3" t="s">
        <v>183</v>
      </c>
      <c r="I7" s="3" t="s">
        <v>170</v>
      </c>
      <c r="J7" s="3" t="s">
        <v>2090</v>
      </c>
    </row>
    <row r="8" spans="1:10" x14ac:dyDescent="0.2">
      <c r="A8" s="9">
        <v>341</v>
      </c>
      <c r="B8" s="3" t="s">
        <v>2104</v>
      </c>
      <c r="C8" s="3" t="s">
        <v>2105</v>
      </c>
      <c r="D8" s="3" t="s">
        <v>2103</v>
      </c>
      <c r="E8" s="6">
        <v>44390.276979166665</v>
      </c>
      <c r="F8" s="3" t="s">
        <v>183</v>
      </c>
      <c r="G8" s="6">
        <v>44390.276979166665</v>
      </c>
      <c r="H8" s="3" t="s">
        <v>183</v>
      </c>
      <c r="I8" s="3" t="s">
        <v>170</v>
      </c>
      <c r="J8" s="3" t="s">
        <v>2090</v>
      </c>
    </row>
    <row r="9" spans="1:10" x14ac:dyDescent="0.2">
      <c r="A9" s="9">
        <v>340</v>
      </c>
      <c r="B9" s="3" t="s">
        <v>2106</v>
      </c>
      <c r="C9" s="3" t="s">
        <v>2107</v>
      </c>
      <c r="D9" s="3" t="s">
        <v>2089</v>
      </c>
      <c r="E9" s="6">
        <v>44390.276979166665</v>
      </c>
      <c r="F9" s="3" t="s">
        <v>183</v>
      </c>
      <c r="G9" s="6">
        <v>44390.276979166665</v>
      </c>
      <c r="H9" s="3" t="s">
        <v>183</v>
      </c>
      <c r="I9" s="3" t="s">
        <v>170</v>
      </c>
      <c r="J9" s="3" t="s">
        <v>2090</v>
      </c>
    </row>
    <row r="10" spans="1:10" x14ac:dyDescent="0.2">
      <c r="A10" s="9">
        <v>339</v>
      </c>
      <c r="B10" s="3" t="s">
        <v>2108</v>
      </c>
      <c r="C10" s="3" t="s">
        <v>2109</v>
      </c>
      <c r="D10" s="3" t="s">
        <v>2089</v>
      </c>
      <c r="E10" s="6">
        <v>44390.276967592596</v>
      </c>
      <c r="F10" s="3" t="s">
        <v>183</v>
      </c>
      <c r="G10" s="6">
        <v>44390.276967592596</v>
      </c>
      <c r="H10" s="3" t="s">
        <v>183</v>
      </c>
      <c r="I10" s="3" t="s">
        <v>170</v>
      </c>
      <c r="J10" s="3" t="s">
        <v>2090</v>
      </c>
    </row>
    <row r="11" spans="1:10" x14ac:dyDescent="0.2">
      <c r="A11" s="9">
        <v>338</v>
      </c>
      <c r="B11" s="3" t="s">
        <v>2110</v>
      </c>
      <c r="C11" s="3" t="s">
        <v>2111</v>
      </c>
      <c r="D11" s="3" t="s">
        <v>2103</v>
      </c>
      <c r="E11" s="6">
        <v>44390.276956018519</v>
      </c>
      <c r="F11" s="3" t="s">
        <v>183</v>
      </c>
      <c r="G11" s="6">
        <v>44390.276956018519</v>
      </c>
      <c r="H11" s="3" t="s">
        <v>183</v>
      </c>
      <c r="I11" s="3" t="s">
        <v>170</v>
      </c>
      <c r="J11" s="3" t="s">
        <v>2090</v>
      </c>
    </row>
    <row r="12" spans="1:10" x14ac:dyDescent="0.2">
      <c r="A12" s="9">
        <v>337</v>
      </c>
      <c r="B12" s="3" t="s">
        <v>2112</v>
      </c>
      <c r="C12" s="3" t="s">
        <v>31</v>
      </c>
      <c r="D12" s="3" t="s">
        <v>2113</v>
      </c>
      <c r="E12" s="6">
        <v>44390.276956018519</v>
      </c>
      <c r="F12" s="3" t="s">
        <v>183</v>
      </c>
      <c r="G12" s="6">
        <v>44390.276956018519</v>
      </c>
      <c r="H12" s="3" t="s">
        <v>183</v>
      </c>
      <c r="I12" s="3" t="s">
        <v>170</v>
      </c>
      <c r="J12" s="3" t="s">
        <v>2090</v>
      </c>
    </row>
    <row r="13" spans="1:10" x14ac:dyDescent="0.2">
      <c r="A13" s="9">
        <v>336</v>
      </c>
      <c r="B13" s="3" t="s">
        <v>2114</v>
      </c>
      <c r="C13" s="3" t="s">
        <v>2115</v>
      </c>
      <c r="D13" s="3" t="s">
        <v>2103</v>
      </c>
      <c r="E13" s="6">
        <v>44390.276944444442</v>
      </c>
      <c r="F13" s="3" t="s">
        <v>183</v>
      </c>
      <c r="G13" s="6">
        <v>44390.276944444442</v>
      </c>
      <c r="H13" s="3" t="s">
        <v>183</v>
      </c>
      <c r="I13" s="3" t="s">
        <v>170</v>
      </c>
      <c r="J13" s="3" t="s">
        <v>2090</v>
      </c>
    </row>
    <row r="14" spans="1:10" x14ac:dyDescent="0.2">
      <c r="A14" s="9">
        <v>335</v>
      </c>
      <c r="B14" s="3" t="s">
        <v>2116</v>
      </c>
      <c r="C14" s="3" t="s">
        <v>2117</v>
      </c>
      <c r="D14" s="3" t="s">
        <v>2118</v>
      </c>
      <c r="E14" s="6">
        <v>44390.276932870373</v>
      </c>
      <c r="F14" s="3" t="s">
        <v>183</v>
      </c>
      <c r="G14" s="6">
        <v>44390.276932870373</v>
      </c>
      <c r="H14" s="3" t="s">
        <v>183</v>
      </c>
      <c r="I14" s="3" t="s">
        <v>170</v>
      </c>
      <c r="J14" s="3" t="s">
        <v>2090</v>
      </c>
    </row>
    <row r="15" spans="1:10" x14ac:dyDescent="0.2">
      <c r="A15" s="9">
        <v>334</v>
      </c>
      <c r="B15" s="3" t="s">
        <v>2119</v>
      </c>
      <c r="C15" s="3" t="s">
        <v>2120</v>
      </c>
      <c r="D15" s="3" t="s">
        <v>2121</v>
      </c>
      <c r="E15" s="6">
        <v>44390.276921296296</v>
      </c>
      <c r="F15" s="3" t="s">
        <v>183</v>
      </c>
      <c r="G15" s="6">
        <v>44390.276921296296</v>
      </c>
      <c r="H15" s="3" t="s">
        <v>183</v>
      </c>
      <c r="I15" s="3" t="s">
        <v>170</v>
      </c>
      <c r="J15" s="3" t="s">
        <v>2090</v>
      </c>
    </row>
    <row r="16" spans="1:10" x14ac:dyDescent="0.2">
      <c r="A16" s="9">
        <v>333</v>
      </c>
      <c r="B16" s="3" t="s">
        <v>2122</v>
      </c>
      <c r="C16" s="3" t="s">
        <v>2123</v>
      </c>
      <c r="D16" s="3" t="s">
        <v>2124</v>
      </c>
      <c r="E16" s="6">
        <v>44390.276909722219</v>
      </c>
      <c r="F16" s="3" t="s">
        <v>183</v>
      </c>
      <c r="G16" s="6">
        <v>44390.276909722219</v>
      </c>
      <c r="H16" s="3" t="s">
        <v>183</v>
      </c>
      <c r="I16" s="3" t="s">
        <v>170</v>
      </c>
      <c r="J16" s="3" t="s">
        <v>2090</v>
      </c>
    </row>
    <row r="17" spans="1:10" x14ac:dyDescent="0.2">
      <c r="A17" s="9">
        <v>332</v>
      </c>
      <c r="B17" s="3" t="s">
        <v>2125</v>
      </c>
      <c r="C17" s="3" t="s">
        <v>2126</v>
      </c>
      <c r="D17" s="3" t="s">
        <v>2096</v>
      </c>
      <c r="E17" s="6">
        <v>44390.276875000003</v>
      </c>
      <c r="F17" s="3" t="s">
        <v>183</v>
      </c>
      <c r="G17" s="6">
        <v>44390.276875000003</v>
      </c>
      <c r="H17" s="3" t="s">
        <v>183</v>
      </c>
      <c r="I17" s="3" t="s">
        <v>170</v>
      </c>
      <c r="J17" s="3" t="s">
        <v>2090</v>
      </c>
    </row>
    <row r="18" spans="1:10" x14ac:dyDescent="0.2">
      <c r="A18" s="9">
        <v>331</v>
      </c>
      <c r="B18" s="3" t="s">
        <v>2127</v>
      </c>
      <c r="C18" s="3" t="s">
        <v>2128</v>
      </c>
      <c r="D18" s="3" t="s">
        <v>2096</v>
      </c>
      <c r="E18" s="6">
        <v>44390.276863425926</v>
      </c>
      <c r="F18" s="3" t="s">
        <v>183</v>
      </c>
      <c r="G18" s="6">
        <v>44390.276863425926</v>
      </c>
      <c r="H18" s="3" t="s">
        <v>183</v>
      </c>
      <c r="I18" s="3" t="s">
        <v>170</v>
      </c>
      <c r="J18" s="3" t="s">
        <v>2090</v>
      </c>
    </row>
    <row r="19" spans="1:10" x14ac:dyDescent="0.2">
      <c r="A19" s="9">
        <v>330</v>
      </c>
      <c r="B19" s="3" t="s">
        <v>2129</v>
      </c>
      <c r="C19" s="3" t="s">
        <v>2130</v>
      </c>
      <c r="D19" s="3" t="s">
        <v>2113</v>
      </c>
      <c r="E19" s="6">
        <v>44390.276863425926</v>
      </c>
      <c r="F19" s="3" t="s">
        <v>183</v>
      </c>
      <c r="G19" s="6">
        <v>44390.276863425926</v>
      </c>
      <c r="H19" s="3" t="s">
        <v>183</v>
      </c>
      <c r="I19" s="3" t="s">
        <v>170</v>
      </c>
      <c r="J19" s="3" t="s">
        <v>2090</v>
      </c>
    </row>
    <row r="20" spans="1:10" x14ac:dyDescent="0.2">
      <c r="A20" s="9">
        <v>329</v>
      </c>
      <c r="B20" s="3" t="s">
        <v>2131</v>
      </c>
      <c r="C20" s="3" t="s">
        <v>2132</v>
      </c>
      <c r="D20" s="3" t="s">
        <v>2096</v>
      </c>
      <c r="E20" s="6">
        <v>44390.27685185185</v>
      </c>
      <c r="F20" s="3" t="s">
        <v>183</v>
      </c>
      <c r="G20" s="6">
        <v>44390.27685185185</v>
      </c>
      <c r="H20" s="3" t="s">
        <v>183</v>
      </c>
      <c r="I20" s="3" t="s">
        <v>170</v>
      </c>
      <c r="J20" s="3" t="s">
        <v>2090</v>
      </c>
    </row>
    <row r="21" spans="1:10" x14ac:dyDescent="0.2">
      <c r="A21" s="9">
        <v>328</v>
      </c>
      <c r="B21" s="3" t="s">
        <v>2133</v>
      </c>
      <c r="C21" s="3" t="s">
        <v>2134</v>
      </c>
      <c r="D21" s="3" t="s">
        <v>2093</v>
      </c>
      <c r="E21" s="6">
        <v>44390.27684027778</v>
      </c>
      <c r="F21" s="3" t="s">
        <v>183</v>
      </c>
      <c r="G21" s="6">
        <v>44390.27684027778</v>
      </c>
      <c r="H21" s="3" t="s">
        <v>183</v>
      </c>
      <c r="I21" s="3" t="s">
        <v>170</v>
      </c>
      <c r="J21" s="3" t="s">
        <v>2090</v>
      </c>
    </row>
    <row r="22" spans="1:10" x14ac:dyDescent="0.2">
      <c r="A22" s="9">
        <v>327</v>
      </c>
      <c r="B22" s="3" t="s">
        <v>32</v>
      </c>
      <c r="C22" s="3" t="s">
        <v>2135</v>
      </c>
      <c r="D22" s="3" t="s">
        <v>2136</v>
      </c>
      <c r="E22" s="6">
        <v>44390.27684027778</v>
      </c>
      <c r="F22" s="3" t="s">
        <v>183</v>
      </c>
      <c r="G22" s="6">
        <v>44390.27684027778</v>
      </c>
      <c r="H22" s="3" t="s">
        <v>183</v>
      </c>
      <c r="I22" s="3" t="s">
        <v>170</v>
      </c>
      <c r="J22" s="3" t="s">
        <v>2090</v>
      </c>
    </row>
    <row r="23" spans="1:10" x14ac:dyDescent="0.2">
      <c r="A23" s="9">
        <v>326</v>
      </c>
      <c r="B23" s="3" t="s">
        <v>2137</v>
      </c>
      <c r="C23" s="3" t="s">
        <v>2138</v>
      </c>
      <c r="D23" s="3" t="s">
        <v>2113</v>
      </c>
      <c r="E23" s="6">
        <v>44390.276828703703</v>
      </c>
      <c r="F23" s="3" t="s">
        <v>183</v>
      </c>
      <c r="G23" s="6">
        <v>44390.276828703703</v>
      </c>
      <c r="H23" s="3" t="s">
        <v>183</v>
      </c>
      <c r="I23" s="3" t="s">
        <v>170</v>
      </c>
      <c r="J23" s="3" t="s">
        <v>2090</v>
      </c>
    </row>
    <row r="24" spans="1:10" x14ac:dyDescent="0.2">
      <c r="A24" s="9">
        <v>325</v>
      </c>
      <c r="B24" s="3" t="s">
        <v>33</v>
      </c>
      <c r="C24" s="3" t="s">
        <v>2139</v>
      </c>
      <c r="D24" s="3" t="s">
        <v>2103</v>
      </c>
      <c r="E24" s="6">
        <v>44390.276817129627</v>
      </c>
      <c r="F24" s="3" t="s">
        <v>183</v>
      </c>
      <c r="G24" s="6">
        <v>44390.276817129627</v>
      </c>
      <c r="H24" s="3" t="s">
        <v>183</v>
      </c>
      <c r="I24" s="3" t="s">
        <v>170</v>
      </c>
      <c r="J24" s="3" t="s">
        <v>2090</v>
      </c>
    </row>
    <row r="25" spans="1:10" x14ac:dyDescent="0.2">
      <c r="A25" s="9">
        <v>324</v>
      </c>
      <c r="B25" s="3" t="s">
        <v>34</v>
      </c>
      <c r="C25" s="3" t="s">
        <v>2140</v>
      </c>
      <c r="D25" s="3" t="s">
        <v>2093</v>
      </c>
      <c r="E25" s="6">
        <v>44390.276817129627</v>
      </c>
      <c r="F25" s="3" t="s">
        <v>183</v>
      </c>
      <c r="G25" s="6">
        <v>44390.276817129627</v>
      </c>
      <c r="H25" s="3" t="s">
        <v>183</v>
      </c>
      <c r="I25" s="3" t="s">
        <v>170</v>
      </c>
      <c r="J25" s="3" t="s">
        <v>2090</v>
      </c>
    </row>
    <row r="26" spans="1:10" x14ac:dyDescent="0.2">
      <c r="A26" s="9">
        <v>323</v>
      </c>
      <c r="B26" s="3" t="s">
        <v>35</v>
      </c>
      <c r="C26" s="3" t="s">
        <v>2141</v>
      </c>
      <c r="D26" s="3" t="s">
        <v>2136</v>
      </c>
      <c r="E26" s="6">
        <v>44390.276817129627</v>
      </c>
      <c r="F26" s="3" t="s">
        <v>183</v>
      </c>
      <c r="G26" s="6">
        <v>44390.276817129627</v>
      </c>
      <c r="H26" s="3" t="s">
        <v>183</v>
      </c>
      <c r="I26" s="3" t="s">
        <v>170</v>
      </c>
      <c r="J26" s="3" t="s">
        <v>2090</v>
      </c>
    </row>
    <row r="27" spans="1:10" x14ac:dyDescent="0.2">
      <c r="A27" s="9">
        <v>322</v>
      </c>
      <c r="B27" s="3" t="s">
        <v>2142</v>
      </c>
      <c r="C27" s="3" t="s">
        <v>2143</v>
      </c>
      <c r="D27" s="3" t="s">
        <v>2136</v>
      </c>
      <c r="E27" s="6">
        <v>44390.27679398148</v>
      </c>
      <c r="F27" s="3" t="s">
        <v>183</v>
      </c>
      <c r="G27" s="6">
        <v>44390.27679398148</v>
      </c>
      <c r="H27" s="3" t="s">
        <v>183</v>
      </c>
      <c r="I27" s="3" t="s">
        <v>170</v>
      </c>
      <c r="J27" s="3" t="s">
        <v>2090</v>
      </c>
    </row>
    <row r="28" spans="1:10" x14ac:dyDescent="0.2">
      <c r="A28" s="9">
        <v>321</v>
      </c>
      <c r="B28" s="3" t="s">
        <v>2144</v>
      </c>
      <c r="C28" s="3" t="s">
        <v>2145</v>
      </c>
      <c r="D28" s="3" t="s">
        <v>2146</v>
      </c>
      <c r="E28" s="6">
        <v>44390.27679398148</v>
      </c>
      <c r="F28" s="3" t="s">
        <v>183</v>
      </c>
      <c r="G28" s="6">
        <v>44390.27679398148</v>
      </c>
      <c r="H28" s="3" t="s">
        <v>183</v>
      </c>
      <c r="I28" s="3" t="s">
        <v>170</v>
      </c>
      <c r="J28" s="3" t="s">
        <v>2090</v>
      </c>
    </row>
    <row r="29" spans="1:10" x14ac:dyDescent="0.2">
      <c r="A29" s="9">
        <v>320</v>
      </c>
      <c r="B29" s="3" t="s">
        <v>2147</v>
      </c>
      <c r="C29" s="3" t="s">
        <v>2148</v>
      </c>
      <c r="D29" s="3" t="s">
        <v>2136</v>
      </c>
      <c r="E29" s="6">
        <v>44390.276782407411</v>
      </c>
      <c r="F29" s="3" t="s">
        <v>183</v>
      </c>
      <c r="G29" s="6">
        <v>44390.276782407411</v>
      </c>
      <c r="H29" s="3" t="s">
        <v>183</v>
      </c>
      <c r="I29" s="3" t="s">
        <v>170</v>
      </c>
      <c r="J29" s="3" t="s">
        <v>2090</v>
      </c>
    </row>
    <row r="30" spans="1:10" x14ac:dyDescent="0.2">
      <c r="A30" s="9">
        <v>319</v>
      </c>
      <c r="B30" s="3" t="s">
        <v>2149</v>
      </c>
      <c r="C30" s="3" t="s">
        <v>2150</v>
      </c>
      <c r="D30" s="3" t="s">
        <v>2093</v>
      </c>
      <c r="E30" s="6">
        <v>44390.276770833334</v>
      </c>
      <c r="F30" s="3" t="s">
        <v>183</v>
      </c>
      <c r="G30" s="6">
        <v>44390.276770833334</v>
      </c>
      <c r="H30" s="3" t="s">
        <v>183</v>
      </c>
      <c r="I30" s="3" t="s">
        <v>170</v>
      </c>
      <c r="J30" s="3" t="s">
        <v>2090</v>
      </c>
    </row>
    <row r="31" spans="1:10" x14ac:dyDescent="0.2">
      <c r="A31" s="9">
        <v>318</v>
      </c>
      <c r="B31" s="3" t="s">
        <v>2151</v>
      </c>
      <c r="C31" s="3" t="s">
        <v>2152</v>
      </c>
      <c r="D31" s="3" t="s">
        <v>2103</v>
      </c>
      <c r="E31" s="6">
        <v>44390.276770833334</v>
      </c>
      <c r="F31" s="3" t="s">
        <v>183</v>
      </c>
      <c r="G31" s="6">
        <v>44390.276770833334</v>
      </c>
      <c r="H31" s="3" t="s">
        <v>183</v>
      </c>
      <c r="I31" s="3" t="s">
        <v>170</v>
      </c>
      <c r="J31" s="3" t="s">
        <v>2090</v>
      </c>
    </row>
    <row r="32" spans="1:10" x14ac:dyDescent="0.2">
      <c r="A32" s="9">
        <v>317</v>
      </c>
      <c r="B32" s="3" t="s">
        <v>2153</v>
      </c>
      <c r="C32" s="3" t="s">
        <v>2154</v>
      </c>
      <c r="D32" s="3" t="s">
        <v>2093</v>
      </c>
      <c r="E32" s="6">
        <v>44390.276759259257</v>
      </c>
      <c r="F32" s="3" t="s">
        <v>183</v>
      </c>
      <c r="G32" s="6">
        <v>44390.276759259257</v>
      </c>
      <c r="H32" s="3" t="s">
        <v>183</v>
      </c>
      <c r="I32" s="3" t="s">
        <v>170</v>
      </c>
      <c r="J32" s="3" t="s">
        <v>2090</v>
      </c>
    </row>
    <row r="33" spans="1:10" x14ac:dyDescent="0.2">
      <c r="A33" s="9">
        <v>316</v>
      </c>
      <c r="B33" s="3" t="s">
        <v>2155</v>
      </c>
      <c r="C33" s="3" t="s">
        <v>2156</v>
      </c>
      <c r="D33" s="3" t="s">
        <v>2093</v>
      </c>
      <c r="E33" s="6">
        <v>44390.276712962965</v>
      </c>
      <c r="F33" s="3" t="s">
        <v>183</v>
      </c>
      <c r="G33" s="6">
        <v>44390.276712962965</v>
      </c>
      <c r="H33" s="3" t="s">
        <v>183</v>
      </c>
      <c r="I33" s="3" t="s">
        <v>170</v>
      </c>
      <c r="J33" s="3" t="s">
        <v>2090</v>
      </c>
    </row>
    <row r="34" spans="1:10" x14ac:dyDescent="0.2">
      <c r="A34" s="9">
        <v>315</v>
      </c>
      <c r="B34" s="3" t="s">
        <v>2157</v>
      </c>
      <c r="C34" s="3" t="s">
        <v>36</v>
      </c>
      <c r="D34" s="3" t="s">
        <v>2093</v>
      </c>
      <c r="E34" s="6">
        <v>44390.276701388888</v>
      </c>
      <c r="F34" s="3" t="s">
        <v>183</v>
      </c>
      <c r="G34" s="6">
        <v>44390.276701388888</v>
      </c>
      <c r="H34" s="3" t="s">
        <v>183</v>
      </c>
      <c r="I34" s="3" t="s">
        <v>170</v>
      </c>
      <c r="J34" s="3" t="s">
        <v>2090</v>
      </c>
    </row>
    <row r="35" spans="1:10" x14ac:dyDescent="0.2">
      <c r="A35" s="9">
        <v>314</v>
      </c>
      <c r="B35" s="3" t="s">
        <v>2158</v>
      </c>
      <c r="C35" s="3" t="s">
        <v>2159</v>
      </c>
      <c r="D35" s="3" t="s">
        <v>2093</v>
      </c>
      <c r="E35" s="6">
        <v>44390.276678240742</v>
      </c>
      <c r="F35" s="3" t="s">
        <v>183</v>
      </c>
      <c r="G35" s="6">
        <v>44390.276678240742</v>
      </c>
      <c r="H35" s="3" t="s">
        <v>183</v>
      </c>
      <c r="I35" s="3" t="s">
        <v>170</v>
      </c>
      <c r="J35" s="3" t="s">
        <v>2090</v>
      </c>
    </row>
    <row r="36" spans="1:10" x14ac:dyDescent="0.2">
      <c r="A36" s="9">
        <v>313</v>
      </c>
      <c r="B36" s="3" t="s">
        <v>2160</v>
      </c>
      <c r="C36" s="3" t="s">
        <v>2161</v>
      </c>
      <c r="D36" s="3" t="s">
        <v>2093</v>
      </c>
      <c r="E36" s="6">
        <v>44390.276655092595</v>
      </c>
      <c r="F36" s="3" t="s">
        <v>183</v>
      </c>
      <c r="G36" s="6">
        <v>44390.276655092595</v>
      </c>
      <c r="H36" s="3" t="s">
        <v>183</v>
      </c>
      <c r="I36" s="3" t="s">
        <v>170</v>
      </c>
      <c r="J36" s="3" t="s">
        <v>2090</v>
      </c>
    </row>
    <row r="37" spans="1:10" x14ac:dyDescent="0.2">
      <c r="A37" s="9">
        <v>312</v>
      </c>
      <c r="B37" s="3" t="s">
        <v>2162</v>
      </c>
      <c r="C37" s="3" t="s">
        <v>2163</v>
      </c>
      <c r="D37" s="3" t="s">
        <v>2146</v>
      </c>
      <c r="E37" s="6">
        <v>44390.276643518519</v>
      </c>
      <c r="F37" s="3" t="s">
        <v>183</v>
      </c>
      <c r="G37" s="6">
        <v>44390.276643518519</v>
      </c>
      <c r="H37" s="3" t="s">
        <v>183</v>
      </c>
      <c r="I37" s="3" t="s">
        <v>170</v>
      </c>
      <c r="J37" s="3" t="s">
        <v>2090</v>
      </c>
    </row>
    <row r="38" spans="1:10" x14ac:dyDescent="0.2">
      <c r="A38" s="9">
        <v>311</v>
      </c>
      <c r="B38" s="3" t="s">
        <v>2164</v>
      </c>
      <c r="C38" s="3" t="s">
        <v>2165</v>
      </c>
      <c r="D38" s="3" t="s">
        <v>2089</v>
      </c>
      <c r="E38" s="6">
        <v>44390.276631944442</v>
      </c>
      <c r="F38" s="3" t="s">
        <v>183</v>
      </c>
      <c r="G38" s="6">
        <v>44390.276631944442</v>
      </c>
      <c r="H38" s="3" t="s">
        <v>183</v>
      </c>
      <c r="I38" s="3" t="s">
        <v>170</v>
      </c>
      <c r="J38" s="3" t="s">
        <v>2090</v>
      </c>
    </row>
    <row r="39" spans="1:10" x14ac:dyDescent="0.2">
      <c r="A39" s="9">
        <v>310</v>
      </c>
      <c r="B39" s="3" t="s">
        <v>2166</v>
      </c>
      <c r="C39" s="3" t="s">
        <v>2167</v>
      </c>
      <c r="D39" s="3" t="s">
        <v>2113</v>
      </c>
      <c r="E39" s="6">
        <v>44390.276631944442</v>
      </c>
      <c r="F39" s="3" t="s">
        <v>183</v>
      </c>
      <c r="G39" s="6">
        <v>44390.276631944442</v>
      </c>
      <c r="H39" s="3" t="s">
        <v>183</v>
      </c>
      <c r="I39" s="3" t="s">
        <v>170</v>
      </c>
      <c r="J39" s="3" t="s">
        <v>2090</v>
      </c>
    </row>
    <row r="40" spans="1:10" x14ac:dyDescent="0.2">
      <c r="A40" s="9">
        <v>309</v>
      </c>
      <c r="B40" s="3" t="s">
        <v>2168</v>
      </c>
      <c r="C40" s="3" t="s">
        <v>2169</v>
      </c>
      <c r="D40" s="3" t="s">
        <v>2113</v>
      </c>
      <c r="E40" s="6">
        <v>44390.276620370372</v>
      </c>
      <c r="F40" s="3" t="s">
        <v>183</v>
      </c>
      <c r="G40" s="6">
        <v>44390.276620370372</v>
      </c>
      <c r="H40" s="3" t="s">
        <v>183</v>
      </c>
      <c r="I40" s="3" t="s">
        <v>170</v>
      </c>
      <c r="J40" s="3" t="s">
        <v>2090</v>
      </c>
    </row>
    <row r="41" spans="1:10" x14ac:dyDescent="0.2">
      <c r="A41" s="9">
        <v>308</v>
      </c>
      <c r="B41" s="3" t="s">
        <v>2170</v>
      </c>
      <c r="C41" s="3" t="s">
        <v>2171</v>
      </c>
      <c r="D41" s="3" t="s">
        <v>2136</v>
      </c>
      <c r="E41" s="6">
        <v>44390.276608796295</v>
      </c>
      <c r="F41" s="3" t="s">
        <v>183</v>
      </c>
      <c r="G41" s="6">
        <v>44390.276608796295</v>
      </c>
      <c r="H41" s="3" t="s">
        <v>183</v>
      </c>
      <c r="I41" s="3" t="s">
        <v>170</v>
      </c>
      <c r="J41" s="3" t="s">
        <v>2090</v>
      </c>
    </row>
    <row r="42" spans="1:10" x14ac:dyDescent="0.2">
      <c r="A42" s="9">
        <v>307</v>
      </c>
      <c r="B42" s="3" t="s">
        <v>2172</v>
      </c>
      <c r="C42" s="3" t="s">
        <v>2173</v>
      </c>
      <c r="D42" s="3" t="s">
        <v>2174</v>
      </c>
      <c r="E42" s="6">
        <v>44390.276608796295</v>
      </c>
      <c r="F42" s="3" t="s">
        <v>183</v>
      </c>
      <c r="G42" s="6">
        <v>44390.276608796295</v>
      </c>
      <c r="H42" s="3" t="s">
        <v>183</v>
      </c>
      <c r="I42" s="3" t="s">
        <v>170</v>
      </c>
      <c r="J42" s="3" t="s">
        <v>2090</v>
      </c>
    </row>
    <row r="43" spans="1:10" x14ac:dyDescent="0.2">
      <c r="A43" s="9">
        <v>306</v>
      </c>
      <c r="B43" s="3" t="s">
        <v>2175</v>
      </c>
      <c r="C43" s="3" t="s">
        <v>2176</v>
      </c>
      <c r="D43" s="3" t="s">
        <v>2177</v>
      </c>
      <c r="E43" s="6">
        <v>44390.276597222219</v>
      </c>
      <c r="F43" s="3" t="s">
        <v>183</v>
      </c>
      <c r="G43" s="6">
        <v>44390.276597222219</v>
      </c>
      <c r="H43" s="3" t="s">
        <v>183</v>
      </c>
      <c r="I43" s="3" t="s">
        <v>170</v>
      </c>
      <c r="J43" s="3" t="s">
        <v>2090</v>
      </c>
    </row>
    <row r="44" spans="1:10" x14ac:dyDescent="0.2">
      <c r="A44" s="9">
        <v>305</v>
      </c>
      <c r="B44" s="3" t="s">
        <v>2178</v>
      </c>
      <c r="C44" s="3" t="s">
        <v>2179</v>
      </c>
      <c r="D44" s="3" t="s">
        <v>2113</v>
      </c>
      <c r="E44" s="6">
        <v>44390.276585648149</v>
      </c>
      <c r="F44" s="3" t="s">
        <v>183</v>
      </c>
      <c r="G44" s="6">
        <v>44390.276585648149</v>
      </c>
      <c r="H44" s="3" t="s">
        <v>183</v>
      </c>
      <c r="I44" s="3" t="s">
        <v>170</v>
      </c>
      <c r="J44" s="3" t="s">
        <v>2090</v>
      </c>
    </row>
    <row r="45" spans="1:10" x14ac:dyDescent="0.2">
      <c r="A45" s="9">
        <v>304</v>
      </c>
      <c r="B45" s="3" t="s">
        <v>2180</v>
      </c>
      <c r="C45" s="3" t="s">
        <v>2181</v>
      </c>
      <c r="D45" s="3" t="s">
        <v>2113</v>
      </c>
      <c r="E45" s="6">
        <v>44390.276574074072</v>
      </c>
      <c r="F45" s="3" t="s">
        <v>183</v>
      </c>
      <c r="G45" s="6">
        <v>44390.276574074072</v>
      </c>
      <c r="H45" s="3" t="s">
        <v>183</v>
      </c>
      <c r="I45" s="3" t="s">
        <v>170</v>
      </c>
      <c r="J45" s="3" t="s">
        <v>2090</v>
      </c>
    </row>
    <row r="46" spans="1:10" x14ac:dyDescent="0.2">
      <c r="A46" s="9">
        <v>303</v>
      </c>
      <c r="B46" s="3" t="s">
        <v>2182</v>
      </c>
      <c r="C46" s="3" t="s">
        <v>2183</v>
      </c>
      <c r="D46" s="3" t="s">
        <v>2136</v>
      </c>
      <c r="E46" s="6">
        <v>44390.276574074072</v>
      </c>
      <c r="F46" s="3" t="s">
        <v>183</v>
      </c>
      <c r="G46" s="6">
        <v>44390.276574074072</v>
      </c>
      <c r="H46" s="3" t="s">
        <v>183</v>
      </c>
      <c r="I46" s="3" t="s">
        <v>170</v>
      </c>
      <c r="J46" s="3" t="s">
        <v>2090</v>
      </c>
    </row>
    <row r="47" spans="1:10" x14ac:dyDescent="0.2">
      <c r="A47" s="9">
        <v>302</v>
      </c>
      <c r="B47" s="3" t="s">
        <v>2184</v>
      </c>
      <c r="C47" s="3" t="s">
        <v>2185</v>
      </c>
      <c r="D47" s="3" t="s">
        <v>2146</v>
      </c>
      <c r="E47" s="6">
        <v>44390.276562500003</v>
      </c>
      <c r="F47" s="3" t="s">
        <v>183</v>
      </c>
      <c r="G47" s="6">
        <v>44390.276562500003</v>
      </c>
      <c r="H47" s="3" t="s">
        <v>183</v>
      </c>
      <c r="I47" s="3" t="s">
        <v>170</v>
      </c>
      <c r="J47" s="3" t="s">
        <v>2090</v>
      </c>
    </row>
    <row r="48" spans="1:10" x14ac:dyDescent="0.2">
      <c r="A48" s="9">
        <v>301</v>
      </c>
      <c r="B48" s="3" t="s">
        <v>2186</v>
      </c>
      <c r="C48" s="3" t="s">
        <v>2187</v>
      </c>
      <c r="D48" s="3" t="s">
        <v>2113</v>
      </c>
      <c r="E48" s="6">
        <v>44390.276550925926</v>
      </c>
      <c r="F48" s="3" t="s">
        <v>183</v>
      </c>
      <c r="G48" s="6">
        <v>44390.276550925926</v>
      </c>
      <c r="H48" s="3" t="s">
        <v>183</v>
      </c>
      <c r="I48" s="3" t="s">
        <v>170</v>
      </c>
      <c r="J48" s="3" t="s">
        <v>2090</v>
      </c>
    </row>
    <row r="49" spans="1:10" x14ac:dyDescent="0.2">
      <c r="A49" s="9">
        <v>300</v>
      </c>
      <c r="B49" s="3" t="s">
        <v>2188</v>
      </c>
      <c r="C49" s="3" t="s">
        <v>2189</v>
      </c>
      <c r="D49" s="3" t="s">
        <v>2093</v>
      </c>
      <c r="E49" s="6">
        <v>44390.276539351849</v>
      </c>
      <c r="F49" s="3" t="s">
        <v>183</v>
      </c>
      <c r="G49" s="6">
        <v>44390.276539351849</v>
      </c>
      <c r="H49" s="3" t="s">
        <v>183</v>
      </c>
      <c r="I49" s="3" t="s">
        <v>170</v>
      </c>
      <c r="J49" s="3" t="s">
        <v>2090</v>
      </c>
    </row>
    <row r="50" spans="1:10" x14ac:dyDescent="0.2">
      <c r="A50" s="9">
        <v>299</v>
      </c>
      <c r="B50" s="3" t="s">
        <v>2190</v>
      </c>
      <c r="C50" s="3" t="s">
        <v>2191</v>
      </c>
      <c r="D50" s="3" t="s">
        <v>2146</v>
      </c>
      <c r="E50" s="6">
        <v>44390.27652777778</v>
      </c>
      <c r="F50" s="3" t="s">
        <v>183</v>
      </c>
      <c r="G50" s="6">
        <v>44390.27652777778</v>
      </c>
      <c r="H50" s="3" t="s">
        <v>183</v>
      </c>
      <c r="I50" s="3" t="s">
        <v>170</v>
      </c>
      <c r="J50" s="3" t="s">
        <v>2090</v>
      </c>
    </row>
    <row r="51" spans="1:10" x14ac:dyDescent="0.2">
      <c r="A51" s="9">
        <v>298</v>
      </c>
      <c r="B51" s="3" t="s">
        <v>2192</v>
      </c>
      <c r="C51" s="3" t="s">
        <v>2193</v>
      </c>
      <c r="D51" s="3" t="s">
        <v>2093</v>
      </c>
      <c r="E51" s="6">
        <v>44390.276516203703</v>
      </c>
      <c r="F51" s="3" t="s">
        <v>183</v>
      </c>
      <c r="G51" s="6">
        <v>44390.276516203703</v>
      </c>
      <c r="H51" s="3" t="s">
        <v>183</v>
      </c>
      <c r="I51" s="3" t="s">
        <v>170</v>
      </c>
      <c r="J51" s="3" t="s">
        <v>2090</v>
      </c>
    </row>
    <row r="52" spans="1:10" x14ac:dyDescent="0.2">
      <c r="A52" s="9">
        <v>297</v>
      </c>
      <c r="B52" s="3" t="s">
        <v>2194</v>
      </c>
      <c r="C52" s="3" t="s">
        <v>2195</v>
      </c>
      <c r="D52" s="3" t="s">
        <v>2146</v>
      </c>
      <c r="E52" s="6">
        <v>44390.276516203703</v>
      </c>
      <c r="F52" s="3" t="s">
        <v>183</v>
      </c>
      <c r="G52" s="6">
        <v>44390.276516203703</v>
      </c>
      <c r="H52" s="3" t="s">
        <v>183</v>
      </c>
      <c r="I52" s="3" t="s">
        <v>170</v>
      </c>
      <c r="J52" s="3" t="s">
        <v>2090</v>
      </c>
    </row>
    <row r="53" spans="1:10" x14ac:dyDescent="0.2">
      <c r="A53" s="9">
        <v>296</v>
      </c>
      <c r="B53" s="3" t="s">
        <v>2196</v>
      </c>
      <c r="C53" s="3" t="s">
        <v>2197</v>
      </c>
      <c r="D53" s="3" t="s">
        <v>2146</v>
      </c>
      <c r="E53" s="6">
        <v>44390.276504629626</v>
      </c>
      <c r="F53" s="3" t="s">
        <v>183</v>
      </c>
      <c r="G53" s="6">
        <v>44390.276504629626</v>
      </c>
      <c r="H53" s="3" t="s">
        <v>183</v>
      </c>
      <c r="I53" s="3" t="s">
        <v>170</v>
      </c>
      <c r="J53" s="3" t="s">
        <v>2090</v>
      </c>
    </row>
    <row r="54" spans="1:10" x14ac:dyDescent="0.2">
      <c r="A54" s="9">
        <v>295</v>
      </c>
      <c r="B54" s="3" t="s">
        <v>2198</v>
      </c>
      <c r="C54" s="3" t="s">
        <v>2199</v>
      </c>
      <c r="D54" s="3" t="s">
        <v>164</v>
      </c>
      <c r="E54" s="6">
        <v>44390.276493055557</v>
      </c>
      <c r="F54" s="3" t="s">
        <v>183</v>
      </c>
      <c r="G54" s="6">
        <v>44390.276493055557</v>
      </c>
      <c r="H54" s="3" t="s">
        <v>183</v>
      </c>
      <c r="I54" s="3" t="s">
        <v>170</v>
      </c>
      <c r="J54" s="3" t="s">
        <v>2090</v>
      </c>
    </row>
    <row r="55" spans="1:10" x14ac:dyDescent="0.2">
      <c r="A55" s="9">
        <v>294</v>
      </c>
      <c r="B55" s="3" t="s">
        <v>2200</v>
      </c>
      <c r="C55" s="3" t="s">
        <v>2201</v>
      </c>
      <c r="D55" s="3" t="s">
        <v>2136</v>
      </c>
      <c r="E55" s="6">
        <v>44390.276493055557</v>
      </c>
      <c r="F55" s="3" t="s">
        <v>183</v>
      </c>
      <c r="G55" s="6">
        <v>44390.276493055557</v>
      </c>
      <c r="H55" s="3" t="s">
        <v>183</v>
      </c>
      <c r="I55" s="3" t="s">
        <v>170</v>
      </c>
      <c r="J55" s="3" t="s">
        <v>2090</v>
      </c>
    </row>
    <row r="56" spans="1:10" x14ac:dyDescent="0.2">
      <c r="A56" s="9">
        <v>293</v>
      </c>
      <c r="B56" s="3" t="s">
        <v>2202</v>
      </c>
      <c r="C56" s="3" t="s">
        <v>2203</v>
      </c>
      <c r="D56" s="3" t="s">
        <v>2103</v>
      </c>
      <c r="E56" s="6">
        <v>44390.276493055557</v>
      </c>
      <c r="F56" s="3" t="s">
        <v>183</v>
      </c>
      <c r="G56" s="6">
        <v>44390.276493055557</v>
      </c>
      <c r="H56" s="3" t="s">
        <v>183</v>
      </c>
      <c r="I56" s="3" t="s">
        <v>170</v>
      </c>
      <c r="J56" s="3" t="s">
        <v>2090</v>
      </c>
    </row>
    <row r="57" spans="1:10" x14ac:dyDescent="0.2">
      <c r="A57" s="9">
        <v>292</v>
      </c>
      <c r="B57" s="3" t="s">
        <v>37</v>
      </c>
      <c r="C57" s="3" t="s">
        <v>2204</v>
      </c>
      <c r="D57" s="3" t="s">
        <v>2096</v>
      </c>
      <c r="E57" s="6">
        <v>44390.276469907411</v>
      </c>
      <c r="F57" s="3" t="s">
        <v>183</v>
      </c>
      <c r="G57" s="6">
        <v>44390.276469907411</v>
      </c>
      <c r="H57" s="3" t="s">
        <v>183</v>
      </c>
      <c r="I57" s="3" t="s">
        <v>170</v>
      </c>
      <c r="J57" s="3" t="s">
        <v>2090</v>
      </c>
    </row>
    <row r="58" spans="1:10" x14ac:dyDescent="0.2">
      <c r="A58" s="9">
        <v>291</v>
      </c>
      <c r="B58" s="3" t="s">
        <v>2205</v>
      </c>
      <c r="C58" s="3" t="s">
        <v>2206</v>
      </c>
      <c r="D58" s="3" t="s">
        <v>2089</v>
      </c>
      <c r="E58" s="6">
        <v>44390.276458333334</v>
      </c>
      <c r="F58" s="3" t="s">
        <v>183</v>
      </c>
      <c r="G58" s="6">
        <v>44390.276458333334</v>
      </c>
      <c r="H58" s="3" t="s">
        <v>183</v>
      </c>
      <c r="I58" s="3" t="s">
        <v>170</v>
      </c>
      <c r="J58" s="3" t="s">
        <v>2090</v>
      </c>
    </row>
    <row r="59" spans="1:10" x14ac:dyDescent="0.2">
      <c r="A59" s="9">
        <v>290</v>
      </c>
      <c r="B59" s="3" t="s">
        <v>2207</v>
      </c>
      <c r="C59" s="3" t="s">
        <v>2208</v>
      </c>
      <c r="D59" s="3" t="s">
        <v>2146</v>
      </c>
      <c r="E59" s="6">
        <v>44390.276446759257</v>
      </c>
      <c r="F59" s="3" t="s">
        <v>183</v>
      </c>
      <c r="G59" s="6">
        <v>44390.276446759257</v>
      </c>
      <c r="H59" s="3" t="s">
        <v>183</v>
      </c>
      <c r="I59" s="3" t="s">
        <v>170</v>
      </c>
      <c r="J59" s="3" t="s">
        <v>2090</v>
      </c>
    </row>
    <row r="60" spans="1:10" x14ac:dyDescent="0.2">
      <c r="A60" s="9">
        <v>289</v>
      </c>
      <c r="B60" s="3" t="s">
        <v>2209</v>
      </c>
      <c r="C60" s="3" t="s">
        <v>2210</v>
      </c>
      <c r="D60" s="3" t="s">
        <v>2211</v>
      </c>
      <c r="E60" s="6">
        <v>44390.276435185187</v>
      </c>
      <c r="F60" s="3" t="s">
        <v>183</v>
      </c>
      <c r="G60" s="6">
        <v>44390.276435185187</v>
      </c>
      <c r="H60" s="3" t="s">
        <v>183</v>
      </c>
      <c r="I60" s="3" t="s">
        <v>170</v>
      </c>
      <c r="J60" s="3" t="s">
        <v>2090</v>
      </c>
    </row>
    <row r="61" spans="1:10" x14ac:dyDescent="0.2">
      <c r="A61" s="9">
        <v>288</v>
      </c>
      <c r="B61" s="3" t="s">
        <v>2212</v>
      </c>
      <c r="C61" s="3" t="s">
        <v>2213</v>
      </c>
      <c r="D61" s="3" t="s">
        <v>2103</v>
      </c>
      <c r="E61" s="6">
        <v>44390.276435185187</v>
      </c>
      <c r="F61" s="3" t="s">
        <v>183</v>
      </c>
      <c r="G61" s="6">
        <v>44390.276435185187</v>
      </c>
      <c r="H61" s="3" t="s">
        <v>183</v>
      </c>
      <c r="I61" s="3" t="s">
        <v>170</v>
      </c>
      <c r="J61" s="3" t="s">
        <v>2090</v>
      </c>
    </row>
    <row r="62" spans="1:10" x14ac:dyDescent="0.2">
      <c r="A62" s="9">
        <v>287</v>
      </c>
      <c r="B62" s="3" t="s">
        <v>2214</v>
      </c>
      <c r="C62" s="3" t="s">
        <v>2215</v>
      </c>
      <c r="D62" s="3" t="s">
        <v>2146</v>
      </c>
      <c r="E62" s="6">
        <v>44390.276423611111</v>
      </c>
      <c r="F62" s="3" t="s">
        <v>183</v>
      </c>
      <c r="G62" s="6">
        <v>44390.276423611111</v>
      </c>
      <c r="H62" s="3" t="s">
        <v>183</v>
      </c>
      <c r="I62" s="3" t="s">
        <v>170</v>
      </c>
      <c r="J62" s="3" t="s">
        <v>2090</v>
      </c>
    </row>
    <row r="63" spans="1:10" x14ac:dyDescent="0.2">
      <c r="A63" s="9">
        <v>286</v>
      </c>
      <c r="B63" s="3" t="s">
        <v>2216</v>
      </c>
      <c r="C63" s="3" t="s">
        <v>2217</v>
      </c>
      <c r="D63" s="3" t="s">
        <v>2089</v>
      </c>
      <c r="E63" s="6">
        <v>44390.276412037034</v>
      </c>
      <c r="F63" s="3" t="s">
        <v>183</v>
      </c>
      <c r="G63" s="6">
        <v>44390.276412037034</v>
      </c>
      <c r="H63" s="3" t="s">
        <v>183</v>
      </c>
      <c r="I63" s="3" t="s">
        <v>170</v>
      </c>
      <c r="J63" s="3" t="s">
        <v>2090</v>
      </c>
    </row>
    <row r="64" spans="1:10" x14ac:dyDescent="0.2">
      <c r="A64" s="9">
        <v>285</v>
      </c>
      <c r="B64" s="3" t="s">
        <v>2218</v>
      </c>
      <c r="C64" s="3" t="s">
        <v>2219</v>
      </c>
      <c r="D64" s="3" t="s">
        <v>2093</v>
      </c>
      <c r="E64" s="6">
        <v>44390.276400462964</v>
      </c>
      <c r="F64" s="3" t="s">
        <v>183</v>
      </c>
      <c r="G64" s="6">
        <v>44390.276400462964</v>
      </c>
      <c r="H64" s="3" t="s">
        <v>183</v>
      </c>
      <c r="I64" s="3" t="s">
        <v>170</v>
      </c>
      <c r="J64" s="3" t="s">
        <v>2090</v>
      </c>
    </row>
    <row r="65" spans="1:10" x14ac:dyDescent="0.2">
      <c r="A65" s="9">
        <v>284</v>
      </c>
      <c r="B65" s="3" t="s">
        <v>38</v>
      </c>
      <c r="C65" s="3" t="s">
        <v>2220</v>
      </c>
      <c r="D65" s="3" t="s">
        <v>2146</v>
      </c>
      <c r="E65" s="6">
        <v>44390.276400462964</v>
      </c>
      <c r="F65" s="3" t="s">
        <v>183</v>
      </c>
      <c r="G65" s="6">
        <v>44390.276400462964</v>
      </c>
      <c r="H65" s="3" t="s">
        <v>183</v>
      </c>
      <c r="I65" s="3" t="s">
        <v>170</v>
      </c>
      <c r="J65" s="3" t="s">
        <v>2090</v>
      </c>
    </row>
    <row r="66" spans="1:10" x14ac:dyDescent="0.2">
      <c r="A66" s="9">
        <v>283</v>
      </c>
      <c r="B66" s="3" t="s">
        <v>2221</v>
      </c>
      <c r="C66" s="3" t="s">
        <v>2222</v>
      </c>
      <c r="D66" s="3" t="s">
        <v>2146</v>
      </c>
      <c r="E66" s="6">
        <v>44390.276388888888</v>
      </c>
      <c r="F66" s="3" t="s">
        <v>183</v>
      </c>
      <c r="G66" s="6">
        <v>44390.276388888888</v>
      </c>
      <c r="H66" s="3" t="s">
        <v>183</v>
      </c>
      <c r="I66" s="3" t="s">
        <v>170</v>
      </c>
      <c r="J66" s="3" t="s">
        <v>2090</v>
      </c>
    </row>
    <row r="67" spans="1:10" x14ac:dyDescent="0.2">
      <c r="A67" s="9">
        <v>282</v>
      </c>
      <c r="B67" s="3" t="s">
        <v>2223</v>
      </c>
      <c r="C67" s="3" t="s">
        <v>2224</v>
      </c>
      <c r="D67" s="3" t="s">
        <v>2113</v>
      </c>
      <c r="E67" s="6">
        <v>44390.276377314818</v>
      </c>
      <c r="F67" s="3" t="s">
        <v>183</v>
      </c>
      <c r="G67" s="6">
        <v>44390.276377314818</v>
      </c>
      <c r="H67" s="3" t="s">
        <v>183</v>
      </c>
      <c r="I67" s="3" t="s">
        <v>170</v>
      </c>
      <c r="J67" s="3" t="s">
        <v>2090</v>
      </c>
    </row>
    <row r="68" spans="1:10" x14ac:dyDescent="0.2">
      <c r="A68" s="9">
        <v>281</v>
      </c>
      <c r="B68" s="3" t="s">
        <v>2225</v>
      </c>
      <c r="C68" s="3" t="s">
        <v>2226</v>
      </c>
      <c r="D68" s="3" t="s">
        <v>2103</v>
      </c>
      <c r="E68" s="6">
        <v>44390.276377314818</v>
      </c>
      <c r="F68" s="3" t="s">
        <v>183</v>
      </c>
      <c r="G68" s="6">
        <v>44390.276377314818</v>
      </c>
      <c r="H68" s="3" t="s">
        <v>183</v>
      </c>
      <c r="I68" s="3" t="s">
        <v>170</v>
      </c>
      <c r="J68" s="3" t="s">
        <v>2090</v>
      </c>
    </row>
    <row r="69" spans="1:10" x14ac:dyDescent="0.2">
      <c r="A69" s="9">
        <v>280</v>
      </c>
      <c r="B69" s="3" t="s">
        <v>2227</v>
      </c>
      <c r="C69" s="3" t="s">
        <v>2228</v>
      </c>
      <c r="D69" s="3" t="s">
        <v>2089</v>
      </c>
      <c r="E69" s="6">
        <v>44390.276365740741</v>
      </c>
      <c r="F69" s="3" t="s">
        <v>183</v>
      </c>
      <c r="G69" s="6">
        <v>44390.276365740741</v>
      </c>
      <c r="H69" s="3" t="s">
        <v>183</v>
      </c>
      <c r="I69" s="3" t="s">
        <v>170</v>
      </c>
      <c r="J69" s="3" t="s">
        <v>2090</v>
      </c>
    </row>
    <row r="70" spans="1:10" x14ac:dyDescent="0.2">
      <c r="A70" s="9">
        <v>279</v>
      </c>
      <c r="B70" s="3" t="s">
        <v>2229</v>
      </c>
      <c r="C70" s="3" t="s">
        <v>2230</v>
      </c>
      <c r="D70" s="3" t="s">
        <v>2103</v>
      </c>
      <c r="E70" s="6">
        <v>44390.276354166665</v>
      </c>
      <c r="F70" s="3" t="s">
        <v>183</v>
      </c>
      <c r="G70" s="6">
        <v>44390.276354166665</v>
      </c>
      <c r="H70" s="3" t="s">
        <v>183</v>
      </c>
      <c r="I70" s="3" t="s">
        <v>170</v>
      </c>
      <c r="J70" s="3" t="s">
        <v>2090</v>
      </c>
    </row>
    <row r="71" spans="1:10" x14ac:dyDescent="0.2">
      <c r="A71" s="9">
        <v>278</v>
      </c>
      <c r="B71" s="3" t="s">
        <v>2231</v>
      </c>
      <c r="C71" s="3" t="s">
        <v>2232</v>
      </c>
      <c r="D71" s="3" t="s">
        <v>2103</v>
      </c>
      <c r="E71" s="6">
        <v>44390.276354166665</v>
      </c>
      <c r="F71" s="3" t="s">
        <v>183</v>
      </c>
      <c r="G71" s="6">
        <v>44390.276354166665</v>
      </c>
      <c r="H71" s="3" t="s">
        <v>183</v>
      </c>
      <c r="I71" s="3" t="s">
        <v>170</v>
      </c>
      <c r="J71" s="3" t="s">
        <v>2090</v>
      </c>
    </row>
    <row r="72" spans="1:10" x14ac:dyDescent="0.2">
      <c r="A72" s="9">
        <v>277</v>
      </c>
      <c r="B72" s="3" t="s">
        <v>2233</v>
      </c>
      <c r="C72" s="3" t="s">
        <v>2234</v>
      </c>
      <c r="D72" s="3" t="s">
        <v>2103</v>
      </c>
      <c r="E72" s="6">
        <v>44390.276342592595</v>
      </c>
      <c r="F72" s="3" t="s">
        <v>183</v>
      </c>
      <c r="G72" s="6">
        <v>44390.276342592595</v>
      </c>
      <c r="H72" s="3" t="s">
        <v>183</v>
      </c>
      <c r="I72" s="3" t="s">
        <v>170</v>
      </c>
      <c r="J72" s="3" t="s">
        <v>2090</v>
      </c>
    </row>
    <row r="73" spans="1:10" x14ac:dyDescent="0.2">
      <c r="A73" s="9">
        <v>276</v>
      </c>
      <c r="B73" s="3" t="s">
        <v>2235</v>
      </c>
      <c r="C73" s="3" t="s">
        <v>2236</v>
      </c>
      <c r="D73" s="3" t="s">
        <v>2103</v>
      </c>
      <c r="E73" s="6">
        <v>44390.276331018518</v>
      </c>
      <c r="F73" s="3" t="s">
        <v>183</v>
      </c>
      <c r="G73" s="6">
        <v>44390.276331018518</v>
      </c>
      <c r="H73" s="3" t="s">
        <v>183</v>
      </c>
      <c r="I73" s="3" t="s">
        <v>170</v>
      </c>
      <c r="J73" s="3" t="s">
        <v>2090</v>
      </c>
    </row>
    <row r="74" spans="1:10" x14ac:dyDescent="0.2">
      <c r="A74" s="9">
        <v>275</v>
      </c>
      <c r="B74" s="3" t="s">
        <v>2237</v>
      </c>
      <c r="C74" s="3" t="s">
        <v>39</v>
      </c>
      <c r="D74" s="3" t="s">
        <v>2146</v>
      </c>
      <c r="E74" s="6">
        <v>44390.276319444441</v>
      </c>
      <c r="F74" s="3" t="s">
        <v>183</v>
      </c>
      <c r="G74" s="6">
        <v>44390.276319444441</v>
      </c>
      <c r="H74" s="3" t="s">
        <v>183</v>
      </c>
      <c r="I74" s="3" t="s">
        <v>170</v>
      </c>
      <c r="J74" s="3" t="s">
        <v>2090</v>
      </c>
    </row>
    <row r="75" spans="1:10" x14ac:dyDescent="0.2">
      <c r="A75" s="9">
        <v>274</v>
      </c>
      <c r="B75" s="3" t="s">
        <v>2238</v>
      </c>
      <c r="C75" s="3" t="s">
        <v>2239</v>
      </c>
      <c r="D75" s="3" t="s">
        <v>2093</v>
      </c>
      <c r="E75" s="6">
        <v>44390.276307870372</v>
      </c>
      <c r="F75" s="3" t="s">
        <v>183</v>
      </c>
      <c r="G75" s="6">
        <v>44390.276307870372</v>
      </c>
      <c r="H75" s="3" t="s">
        <v>183</v>
      </c>
      <c r="I75" s="3" t="s">
        <v>170</v>
      </c>
      <c r="J75" s="3" t="s">
        <v>2090</v>
      </c>
    </row>
    <row r="76" spans="1:10" x14ac:dyDescent="0.2">
      <c r="A76" s="9">
        <v>273</v>
      </c>
      <c r="B76" s="3" t="s">
        <v>2240</v>
      </c>
      <c r="C76" s="3" t="s">
        <v>2241</v>
      </c>
      <c r="D76" s="3" t="s">
        <v>2136</v>
      </c>
      <c r="E76" s="6">
        <v>44390.276307870372</v>
      </c>
      <c r="F76" s="3" t="s">
        <v>183</v>
      </c>
      <c r="G76" s="6">
        <v>44390.276307870372</v>
      </c>
      <c r="H76" s="3" t="s">
        <v>183</v>
      </c>
      <c r="I76" s="3" t="s">
        <v>170</v>
      </c>
      <c r="J76" s="3" t="s">
        <v>2090</v>
      </c>
    </row>
    <row r="77" spans="1:10" x14ac:dyDescent="0.2">
      <c r="A77" s="9">
        <v>272</v>
      </c>
      <c r="B77" s="3" t="s">
        <v>2242</v>
      </c>
      <c r="C77" s="3" t="s">
        <v>2243</v>
      </c>
      <c r="D77" s="3" t="s">
        <v>2113</v>
      </c>
      <c r="E77" s="6">
        <v>44390.276296296295</v>
      </c>
      <c r="F77" s="3" t="s">
        <v>183</v>
      </c>
      <c r="G77" s="6">
        <v>44390.276296296295</v>
      </c>
      <c r="H77" s="3" t="s">
        <v>183</v>
      </c>
      <c r="I77" s="3" t="s">
        <v>170</v>
      </c>
      <c r="J77" s="3" t="s">
        <v>2090</v>
      </c>
    </row>
    <row r="78" spans="1:10" x14ac:dyDescent="0.2">
      <c r="A78" s="9">
        <v>271</v>
      </c>
      <c r="B78" s="3" t="s">
        <v>40</v>
      </c>
      <c r="C78" s="3" t="s">
        <v>2244</v>
      </c>
      <c r="D78" s="3" t="s">
        <v>2146</v>
      </c>
      <c r="E78" s="6">
        <v>44390.276284722226</v>
      </c>
      <c r="F78" s="3" t="s">
        <v>183</v>
      </c>
      <c r="G78" s="6">
        <v>44390.276284722226</v>
      </c>
      <c r="H78" s="3" t="s">
        <v>183</v>
      </c>
      <c r="I78" s="3" t="s">
        <v>170</v>
      </c>
      <c r="J78" s="3" t="s">
        <v>2090</v>
      </c>
    </row>
    <row r="79" spans="1:10" x14ac:dyDescent="0.2">
      <c r="A79" s="9">
        <v>270</v>
      </c>
      <c r="B79" s="3" t="s">
        <v>41</v>
      </c>
      <c r="C79" s="3" t="s">
        <v>2245</v>
      </c>
      <c r="D79" s="3" t="s">
        <v>2103</v>
      </c>
      <c r="E79" s="6">
        <v>44390.276284722226</v>
      </c>
      <c r="F79" s="3" t="s">
        <v>183</v>
      </c>
      <c r="G79" s="6">
        <v>44390.276284722226</v>
      </c>
      <c r="H79" s="3" t="s">
        <v>183</v>
      </c>
      <c r="I79" s="3" t="s">
        <v>170</v>
      </c>
      <c r="J79" s="3" t="s">
        <v>2090</v>
      </c>
    </row>
    <row r="80" spans="1:10" x14ac:dyDescent="0.2">
      <c r="A80" s="9">
        <v>269</v>
      </c>
      <c r="B80" s="3" t="s">
        <v>2246</v>
      </c>
      <c r="C80" s="3" t="s">
        <v>2247</v>
      </c>
      <c r="D80" s="3" t="s">
        <v>2096</v>
      </c>
      <c r="E80" s="6">
        <v>44390.276273148149</v>
      </c>
      <c r="F80" s="3" t="s">
        <v>183</v>
      </c>
      <c r="G80" s="6">
        <v>44390.276273148149</v>
      </c>
      <c r="H80" s="3" t="s">
        <v>183</v>
      </c>
      <c r="I80" s="3" t="s">
        <v>170</v>
      </c>
      <c r="J80" s="3" t="s">
        <v>2090</v>
      </c>
    </row>
    <row r="81" spans="1:10" x14ac:dyDescent="0.2">
      <c r="A81" s="9">
        <v>268</v>
      </c>
      <c r="B81" s="3" t="s">
        <v>2248</v>
      </c>
      <c r="C81" s="3" t="s">
        <v>2249</v>
      </c>
      <c r="D81" s="3" t="s">
        <v>2113</v>
      </c>
      <c r="E81" s="6">
        <v>44390.276261574072</v>
      </c>
      <c r="F81" s="3" t="s">
        <v>183</v>
      </c>
      <c r="G81" s="6">
        <v>44390.276261574072</v>
      </c>
      <c r="H81" s="3" t="s">
        <v>183</v>
      </c>
      <c r="I81" s="3" t="s">
        <v>170</v>
      </c>
      <c r="J81" s="3" t="s">
        <v>2090</v>
      </c>
    </row>
    <row r="82" spans="1:10" x14ac:dyDescent="0.2">
      <c r="A82" s="9">
        <v>267</v>
      </c>
      <c r="B82" s="3" t="s">
        <v>42</v>
      </c>
      <c r="C82" s="3" t="s">
        <v>2250</v>
      </c>
      <c r="D82" s="3" t="s">
        <v>2146</v>
      </c>
      <c r="E82" s="6">
        <v>44390.276250000003</v>
      </c>
      <c r="F82" s="3" t="s">
        <v>183</v>
      </c>
      <c r="G82" s="6">
        <v>44390.276250000003</v>
      </c>
      <c r="H82" s="3" t="s">
        <v>183</v>
      </c>
      <c r="I82" s="3" t="s">
        <v>170</v>
      </c>
      <c r="J82" s="3" t="s">
        <v>2090</v>
      </c>
    </row>
    <row r="83" spans="1:10" x14ac:dyDescent="0.2">
      <c r="A83" s="9">
        <v>266</v>
      </c>
      <c r="B83" s="3" t="s">
        <v>2251</v>
      </c>
      <c r="C83" s="3" t="s">
        <v>2252</v>
      </c>
      <c r="D83" s="3" t="s">
        <v>2177</v>
      </c>
      <c r="E83" s="6">
        <v>44390.272824074076</v>
      </c>
      <c r="F83" s="3" t="s">
        <v>183</v>
      </c>
      <c r="G83" s="6">
        <v>44390.272824074076</v>
      </c>
      <c r="H83" s="3" t="s">
        <v>183</v>
      </c>
      <c r="I83" s="3" t="s">
        <v>170</v>
      </c>
      <c r="J83" s="3" t="s">
        <v>2090</v>
      </c>
    </row>
    <row r="84" spans="1:10" x14ac:dyDescent="0.2">
      <c r="A84" s="9">
        <v>265</v>
      </c>
      <c r="B84" s="3" t="s">
        <v>2253</v>
      </c>
      <c r="C84" s="3" t="s">
        <v>2254</v>
      </c>
      <c r="D84" s="3" t="s">
        <v>2103</v>
      </c>
      <c r="E84" s="6">
        <v>44390.272812499999</v>
      </c>
      <c r="F84" s="3" t="s">
        <v>183</v>
      </c>
      <c r="G84" s="6">
        <v>44390.272812499999</v>
      </c>
      <c r="H84" s="3" t="s">
        <v>183</v>
      </c>
      <c r="I84" s="3" t="s">
        <v>170</v>
      </c>
      <c r="J84" s="3" t="s">
        <v>2090</v>
      </c>
    </row>
    <row r="85" spans="1:10" x14ac:dyDescent="0.2">
      <c r="A85" s="9">
        <v>264</v>
      </c>
      <c r="B85" s="3" t="s">
        <v>2255</v>
      </c>
      <c r="C85" s="3" t="s">
        <v>2256</v>
      </c>
      <c r="D85" s="3" t="s">
        <v>2089</v>
      </c>
      <c r="E85" s="6">
        <v>44390.272800925923</v>
      </c>
      <c r="F85" s="3" t="s">
        <v>183</v>
      </c>
      <c r="G85" s="6">
        <v>44390.272800925923</v>
      </c>
      <c r="H85" s="3" t="s">
        <v>183</v>
      </c>
      <c r="I85" s="3" t="s">
        <v>170</v>
      </c>
      <c r="J85" s="3" t="s">
        <v>2090</v>
      </c>
    </row>
    <row r="86" spans="1:10" x14ac:dyDescent="0.2">
      <c r="A86" s="9">
        <v>263</v>
      </c>
      <c r="B86" s="3" t="s">
        <v>2257</v>
      </c>
      <c r="C86" s="3" t="s">
        <v>43</v>
      </c>
      <c r="D86" s="3" t="s">
        <v>2113</v>
      </c>
      <c r="E86" s="6">
        <v>44390.272800925923</v>
      </c>
      <c r="F86" s="3" t="s">
        <v>183</v>
      </c>
      <c r="G86" s="6">
        <v>44390.272800925923</v>
      </c>
      <c r="H86" s="3" t="s">
        <v>183</v>
      </c>
      <c r="I86" s="3" t="s">
        <v>170</v>
      </c>
      <c r="J86" s="3" t="s">
        <v>2090</v>
      </c>
    </row>
    <row r="87" spans="1:10" x14ac:dyDescent="0.2">
      <c r="A87" s="9">
        <v>262</v>
      </c>
      <c r="B87" s="3" t="s">
        <v>2258</v>
      </c>
      <c r="C87" s="3" t="s">
        <v>2259</v>
      </c>
      <c r="D87" s="3" t="s">
        <v>2089</v>
      </c>
      <c r="E87" s="6">
        <v>44390.272789351853</v>
      </c>
      <c r="F87" s="3" t="s">
        <v>183</v>
      </c>
      <c r="G87" s="6">
        <v>44390.272789351853</v>
      </c>
      <c r="H87" s="3" t="s">
        <v>183</v>
      </c>
      <c r="I87" s="3" t="s">
        <v>170</v>
      </c>
      <c r="J87" s="3" t="s">
        <v>2090</v>
      </c>
    </row>
    <row r="88" spans="1:10" x14ac:dyDescent="0.2">
      <c r="A88" s="9">
        <v>261</v>
      </c>
      <c r="B88" s="3" t="s">
        <v>2260</v>
      </c>
      <c r="C88" s="3" t="s">
        <v>2261</v>
      </c>
      <c r="D88" s="3" t="s">
        <v>2146</v>
      </c>
      <c r="E88" s="6">
        <v>44390.272777777776</v>
      </c>
      <c r="F88" s="3" t="s">
        <v>183</v>
      </c>
      <c r="G88" s="6">
        <v>44390.272777777776</v>
      </c>
      <c r="H88" s="3" t="s">
        <v>183</v>
      </c>
      <c r="I88" s="3" t="s">
        <v>170</v>
      </c>
      <c r="J88" s="3" t="s">
        <v>2090</v>
      </c>
    </row>
    <row r="89" spans="1:10" x14ac:dyDescent="0.2">
      <c r="A89" s="9">
        <v>260</v>
      </c>
      <c r="B89" s="3" t="s">
        <v>2262</v>
      </c>
      <c r="C89" s="3" t="s">
        <v>2263</v>
      </c>
      <c r="D89" s="3" t="s">
        <v>2093</v>
      </c>
      <c r="E89" s="6">
        <v>44390.272777777776</v>
      </c>
      <c r="F89" s="3" t="s">
        <v>183</v>
      </c>
      <c r="G89" s="6">
        <v>44390.272777777776</v>
      </c>
      <c r="H89" s="3" t="s">
        <v>183</v>
      </c>
      <c r="I89" s="3" t="s">
        <v>170</v>
      </c>
      <c r="J89" s="3" t="s">
        <v>2090</v>
      </c>
    </row>
    <row r="90" spans="1:10" x14ac:dyDescent="0.2">
      <c r="A90" s="9">
        <v>259</v>
      </c>
      <c r="B90" s="3" t="s">
        <v>2264</v>
      </c>
      <c r="C90" s="3" t="s">
        <v>2265</v>
      </c>
      <c r="D90" s="3" t="s">
        <v>2093</v>
      </c>
      <c r="E90" s="6">
        <v>44390.272766203707</v>
      </c>
      <c r="F90" s="3" t="s">
        <v>183</v>
      </c>
      <c r="G90" s="6">
        <v>44390.272766203707</v>
      </c>
      <c r="H90" s="3" t="s">
        <v>183</v>
      </c>
      <c r="I90" s="3" t="s">
        <v>170</v>
      </c>
      <c r="J90" s="3" t="s">
        <v>2090</v>
      </c>
    </row>
    <row r="91" spans="1:10" x14ac:dyDescent="0.2">
      <c r="A91" s="9">
        <v>258</v>
      </c>
      <c r="B91" s="3" t="s">
        <v>2266</v>
      </c>
      <c r="C91" s="3" t="s">
        <v>2267</v>
      </c>
      <c r="D91" s="3" t="s">
        <v>2113</v>
      </c>
      <c r="E91" s="6">
        <v>44390.27275462963</v>
      </c>
      <c r="F91" s="3" t="s">
        <v>183</v>
      </c>
      <c r="G91" s="6">
        <v>44390.27275462963</v>
      </c>
      <c r="H91" s="3" t="s">
        <v>183</v>
      </c>
      <c r="I91" s="3" t="s">
        <v>170</v>
      </c>
      <c r="J91" s="3" t="s">
        <v>2090</v>
      </c>
    </row>
    <row r="92" spans="1:10" x14ac:dyDescent="0.2">
      <c r="A92" s="9">
        <v>257</v>
      </c>
      <c r="B92" s="3" t="s">
        <v>2268</v>
      </c>
      <c r="C92" s="3" t="s">
        <v>2269</v>
      </c>
      <c r="D92" s="3" t="s">
        <v>2136</v>
      </c>
      <c r="E92" s="6">
        <v>44390.27275462963</v>
      </c>
      <c r="F92" s="3" t="s">
        <v>183</v>
      </c>
      <c r="G92" s="6">
        <v>44390.27275462963</v>
      </c>
      <c r="H92" s="3" t="s">
        <v>183</v>
      </c>
      <c r="I92" s="3" t="s">
        <v>170</v>
      </c>
      <c r="J92" s="3" t="s">
        <v>2090</v>
      </c>
    </row>
    <row r="93" spans="1:10" x14ac:dyDescent="0.2">
      <c r="A93" s="9">
        <v>256</v>
      </c>
      <c r="B93" s="3" t="s">
        <v>2270</v>
      </c>
      <c r="C93" s="3" t="s">
        <v>2271</v>
      </c>
      <c r="D93" s="3" t="s">
        <v>2103</v>
      </c>
      <c r="E93" s="6">
        <v>44390.272743055553</v>
      </c>
      <c r="F93" s="3" t="s">
        <v>183</v>
      </c>
      <c r="G93" s="6">
        <v>44390.272743055553</v>
      </c>
      <c r="H93" s="3" t="s">
        <v>183</v>
      </c>
      <c r="I93" s="3" t="s">
        <v>170</v>
      </c>
      <c r="J93" s="3" t="s">
        <v>2090</v>
      </c>
    </row>
    <row r="94" spans="1:10" x14ac:dyDescent="0.2">
      <c r="A94" s="9">
        <v>255</v>
      </c>
      <c r="B94" s="3" t="s">
        <v>2272</v>
      </c>
      <c r="C94" s="3" t="s">
        <v>2273</v>
      </c>
      <c r="D94" s="3" t="s">
        <v>2093</v>
      </c>
      <c r="E94" s="6">
        <v>44390.272731481484</v>
      </c>
      <c r="F94" s="3" t="s">
        <v>183</v>
      </c>
      <c r="G94" s="6">
        <v>44390.272731481484</v>
      </c>
      <c r="H94" s="3" t="s">
        <v>183</v>
      </c>
      <c r="I94" s="3" t="s">
        <v>170</v>
      </c>
      <c r="J94" s="3" t="s">
        <v>2090</v>
      </c>
    </row>
    <row r="95" spans="1:10" x14ac:dyDescent="0.2">
      <c r="A95" s="9">
        <v>254</v>
      </c>
      <c r="B95" s="3" t="s">
        <v>2274</v>
      </c>
      <c r="C95" s="3" t="s">
        <v>44</v>
      </c>
      <c r="D95" s="3" t="s">
        <v>2275</v>
      </c>
      <c r="E95" s="6">
        <v>44390.272719907407</v>
      </c>
      <c r="F95" s="3" t="s">
        <v>183</v>
      </c>
      <c r="G95" s="6">
        <v>44390.272719907407</v>
      </c>
      <c r="H95" s="3" t="s">
        <v>183</v>
      </c>
      <c r="I95" s="3" t="s">
        <v>170</v>
      </c>
      <c r="J95" s="3" t="s">
        <v>2090</v>
      </c>
    </row>
    <row r="96" spans="1:10" x14ac:dyDescent="0.2">
      <c r="A96" s="9">
        <v>252</v>
      </c>
      <c r="B96" s="3" t="s">
        <v>2207</v>
      </c>
      <c r="C96" s="3" t="s">
        <v>2208</v>
      </c>
      <c r="D96" s="3" t="s">
        <v>2146</v>
      </c>
      <c r="E96" s="6">
        <v>44260.581412037034</v>
      </c>
      <c r="F96" s="3" t="s">
        <v>2276</v>
      </c>
      <c r="G96" s="6">
        <v>44260.581412037034</v>
      </c>
      <c r="H96" s="3" t="s">
        <v>2276</v>
      </c>
      <c r="I96" s="3" t="s">
        <v>170</v>
      </c>
      <c r="J96" s="3" t="s">
        <v>2090</v>
      </c>
    </row>
    <row r="97" spans="1:10" x14ac:dyDescent="0.2">
      <c r="A97" s="9">
        <v>251</v>
      </c>
      <c r="B97" s="3" t="s">
        <v>2207</v>
      </c>
      <c r="C97" s="3" t="s">
        <v>2208</v>
      </c>
      <c r="D97" s="3" t="s">
        <v>2275</v>
      </c>
      <c r="E97" s="6">
        <v>44260.581006944441</v>
      </c>
      <c r="F97" s="3" t="s">
        <v>2276</v>
      </c>
      <c r="G97" s="6">
        <v>44260.581006944441</v>
      </c>
      <c r="H97" s="3" t="s">
        <v>2276</v>
      </c>
      <c r="I97" s="3" t="s">
        <v>170</v>
      </c>
      <c r="J97" s="3" t="s">
        <v>2090</v>
      </c>
    </row>
    <row r="98" spans="1:10" x14ac:dyDescent="0.2">
      <c r="A98" s="9">
        <v>250</v>
      </c>
      <c r="B98" s="3" t="s">
        <v>2180</v>
      </c>
      <c r="C98" s="3" t="s">
        <v>2181</v>
      </c>
      <c r="D98" s="3" t="s">
        <v>2146</v>
      </c>
      <c r="E98" s="6">
        <v>44260.416956018518</v>
      </c>
      <c r="F98" s="3" t="s">
        <v>183</v>
      </c>
      <c r="G98" s="6">
        <v>44260.416956018518</v>
      </c>
      <c r="H98" s="3" t="s">
        <v>183</v>
      </c>
      <c r="I98" s="3" t="s">
        <v>170</v>
      </c>
      <c r="J98" s="3" t="s">
        <v>2090</v>
      </c>
    </row>
    <row r="99" spans="1:10" x14ac:dyDescent="0.2">
      <c r="A99" s="9">
        <v>249</v>
      </c>
      <c r="B99" s="3" t="s">
        <v>2257</v>
      </c>
      <c r="C99" s="3" t="s">
        <v>43</v>
      </c>
      <c r="D99" s="3" t="s">
        <v>2089</v>
      </c>
      <c r="E99" s="6">
        <v>44260.415682870371</v>
      </c>
      <c r="F99" s="3" t="s">
        <v>183</v>
      </c>
      <c r="G99" s="6">
        <v>44260.415682870371</v>
      </c>
      <c r="H99" s="3" t="s">
        <v>183</v>
      </c>
      <c r="I99" s="3" t="s">
        <v>170</v>
      </c>
      <c r="J99" s="3" t="s">
        <v>2090</v>
      </c>
    </row>
    <row r="100" spans="1:10" x14ac:dyDescent="0.2">
      <c r="A100" s="9">
        <v>248</v>
      </c>
      <c r="B100" s="3" t="s">
        <v>2240</v>
      </c>
      <c r="C100" s="3" t="s">
        <v>2241</v>
      </c>
      <c r="D100" s="3" t="s">
        <v>2277</v>
      </c>
      <c r="E100" s="6">
        <v>44260.415324074071</v>
      </c>
      <c r="F100" s="3" t="s">
        <v>183</v>
      </c>
      <c r="G100" s="6">
        <v>44260.415324074071</v>
      </c>
      <c r="H100" s="3" t="s">
        <v>183</v>
      </c>
      <c r="I100" s="3" t="s">
        <v>170</v>
      </c>
      <c r="J100" s="3" t="s">
        <v>2090</v>
      </c>
    </row>
    <row r="101" spans="1:10" x14ac:dyDescent="0.2">
      <c r="A101" s="9">
        <v>247</v>
      </c>
      <c r="B101" s="3" t="s">
        <v>2164</v>
      </c>
      <c r="C101" s="3" t="s">
        <v>2165</v>
      </c>
      <c r="D101" s="3" t="s">
        <v>2089</v>
      </c>
      <c r="E101" s="6">
        <v>44260.415000000001</v>
      </c>
      <c r="F101" s="3" t="s">
        <v>183</v>
      </c>
      <c r="G101" s="6">
        <v>44260.415000000001</v>
      </c>
      <c r="H101" s="3" t="s">
        <v>183</v>
      </c>
      <c r="I101" s="3" t="s">
        <v>170</v>
      </c>
      <c r="J101" s="3" t="s">
        <v>2090</v>
      </c>
    </row>
    <row r="102" spans="1:10" x14ac:dyDescent="0.2">
      <c r="A102" s="9">
        <v>246</v>
      </c>
      <c r="B102" s="3" t="s">
        <v>2278</v>
      </c>
      <c r="C102" s="3" t="s">
        <v>2279</v>
      </c>
      <c r="D102" s="3" t="s">
        <v>2277</v>
      </c>
      <c r="E102" s="6">
        <v>44260.414710648147</v>
      </c>
      <c r="F102" s="3" t="s">
        <v>183</v>
      </c>
      <c r="G102" s="6">
        <v>44260.414710648147</v>
      </c>
      <c r="H102" s="3" t="s">
        <v>183</v>
      </c>
      <c r="I102" s="3" t="s">
        <v>170</v>
      </c>
      <c r="J102" s="3" t="s">
        <v>2090</v>
      </c>
    </row>
    <row r="103" spans="1:10" x14ac:dyDescent="0.2">
      <c r="A103" s="9">
        <v>245</v>
      </c>
      <c r="B103" s="3" t="s">
        <v>2258</v>
      </c>
      <c r="C103" s="3" t="s">
        <v>2259</v>
      </c>
      <c r="D103" s="3" t="s">
        <v>2089</v>
      </c>
      <c r="E103" s="6">
        <v>44260.414166666669</v>
      </c>
      <c r="F103" s="3" t="s">
        <v>183</v>
      </c>
      <c r="G103" s="6">
        <v>44260.414166666669</v>
      </c>
      <c r="H103" s="3" t="s">
        <v>183</v>
      </c>
      <c r="I103" s="3" t="s">
        <v>170</v>
      </c>
      <c r="J103" s="3" t="s">
        <v>2090</v>
      </c>
    </row>
    <row r="104" spans="1:10" x14ac:dyDescent="0.2">
      <c r="A104" s="9">
        <v>244</v>
      </c>
      <c r="B104" s="3" t="s">
        <v>2166</v>
      </c>
      <c r="C104" s="3" t="s">
        <v>2167</v>
      </c>
      <c r="D104" s="3" t="s">
        <v>2146</v>
      </c>
      <c r="E104" s="6">
        <v>44260.413877314815</v>
      </c>
      <c r="F104" s="3" t="s">
        <v>183</v>
      </c>
      <c r="G104" s="6">
        <v>44260.413877314815</v>
      </c>
      <c r="H104" s="3" t="s">
        <v>183</v>
      </c>
      <c r="I104" s="3" t="s">
        <v>170</v>
      </c>
      <c r="J104" s="3" t="s">
        <v>2090</v>
      </c>
    </row>
    <row r="105" spans="1:10" x14ac:dyDescent="0.2">
      <c r="A105" s="9">
        <v>243</v>
      </c>
      <c r="B105" s="3" t="s">
        <v>2260</v>
      </c>
      <c r="C105" s="3" t="s">
        <v>2261</v>
      </c>
      <c r="D105" s="3" t="s">
        <v>2146</v>
      </c>
      <c r="E105" s="6">
        <v>44260.413564814815</v>
      </c>
      <c r="F105" s="3" t="s">
        <v>183</v>
      </c>
      <c r="G105" s="6">
        <v>44260.413564814815</v>
      </c>
      <c r="H105" s="3" t="s">
        <v>183</v>
      </c>
      <c r="I105" s="3" t="s">
        <v>170</v>
      </c>
      <c r="J105" s="3" t="s">
        <v>2090</v>
      </c>
    </row>
    <row r="106" spans="1:10" x14ac:dyDescent="0.2">
      <c r="A106" s="9">
        <v>242</v>
      </c>
      <c r="B106" s="3" t="s">
        <v>2178</v>
      </c>
      <c r="C106" s="3" t="s">
        <v>2179</v>
      </c>
      <c r="D106" s="3" t="s">
        <v>2146</v>
      </c>
      <c r="E106" s="6">
        <v>44260.41238425926</v>
      </c>
      <c r="F106" s="3" t="s">
        <v>183</v>
      </c>
      <c r="G106" s="6">
        <v>44260.41238425926</v>
      </c>
      <c r="H106" s="3" t="s">
        <v>183</v>
      </c>
      <c r="I106" s="3" t="s">
        <v>170</v>
      </c>
      <c r="J106" s="3" t="s">
        <v>2090</v>
      </c>
    </row>
    <row r="107" spans="1:10" x14ac:dyDescent="0.2">
      <c r="A107" s="9">
        <v>241</v>
      </c>
      <c r="B107" s="3" t="s">
        <v>2162</v>
      </c>
      <c r="C107" s="3" t="s">
        <v>2163</v>
      </c>
      <c r="D107" s="3" t="s">
        <v>2280</v>
      </c>
      <c r="E107" s="6">
        <v>44260.412326388891</v>
      </c>
      <c r="F107" s="3" t="s">
        <v>2276</v>
      </c>
      <c r="G107" s="6">
        <v>44260.412326388891</v>
      </c>
      <c r="H107" s="3" t="s">
        <v>2276</v>
      </c>
      <c r="I107" s="3" t="s">
        <v>170</v>
      </c>
      <c r="J107" s="3" t="s">
        <v>2090</v>
      </c>
    </row>
    <row r="108" spans="1:10" x14ac:dyDescent="0.2">
      <c r="A108" s="9">
        <v>240</v>
      </c>
      <c r="B108" s="3" t="s">
        <v>2281</v>
      </c>
      <c r="C108" s="3" t="s">
        <v>2243</v>
      </c>
      <c r="D108" s="3" t="s">
        <v>2146</v>
      </c>
      <c r="E108" s="6">
        <v>44260.412118055552</v>
      </c>
      <c r="F108" s="3" t="s">
        <v>183</v>
      </c>
      <c r="G108" s="6">
        <v>44260.412118055552</v>
      </c>
      <c r="H108" s="3" t="s">
        <v>183</v>
      </c>
      <c r="I108" s="3" t="s">
        <v>170</v>
      </c>
      <c r="J108" s="3" t="s">
        <v>2090</v>
      </c>
    </row>
    <row r="109" spans="1:10" x14ac:dyDescent="0.2">
      <c r="A109" s="9">
        <v>239</v>
      </c>
      <c r="B109" s="3" t="s">
        <v>2175</v>
      </c>
      <c r="C109" s="3" t="s">
        <v>2176</v>
      </c>
      <c r="D109" s="3" t="s">
        <v>2177</v>
      </c>
      <c r="E109" s="6">
        <v>44260.411770833336</v>
      </c>
      <c r="F109" s="3" t="s">
        <v>2276</v>
      </c>
      <c r="G109" s="6">
        <v>44260.411770833336</v>
      </c>
      <c r="H109" s="3" t="s">
        <v>2276</v>
      </c>
      <c r="I109" s="3" t="s">
        <v>170</v>
      </c>
      <c r="J109" s="3" t="s">
        <v>2090</v>
      </c>
    </row>
    <row r="110" spans="1:10" x14ac:dyDescent="0.2">
      <c r="A110" s="9">
        <v>238</v>
      </c>
      <c r="B110" s="3" t="s">
        <v>42</v>
      </c>
      <c r="C110" s="3" t="s">
        <v>2250</v>
      </c>
      <c r="D110" s="3" t="s">
        <v>2146</v>
      </c>
      <c r="E110" s="6">
        <v>44260.411643518521</v>
      </c>
      <c r="F110" s="3" t="s">
        <v>183</v>
      </c>
      <c r="G110" s="6">
        <v>44260.411643518521</v>
      </c>
      <c r="H110" s="3" t="s">
        <v>183</v>
      </c>
      <c r="I110" s="3" t="s">
        <v>170</v>
      </c>
      <c r="J110" s="3" t="s">
        <v>2090</v>
      </c>
    </row>
    <row r="111" spans="1:10" x14ac:dyDescent="0.2">
      <c r="A111" s="9">
        <v>237</v>
      </c>
      <c r="B111" s="3" t="s">
        <v>2162</v>
      </c>
      <c r="C111" s="3" t="s">
        <v>2163</v>
      </c>
      <c r="D111" s="3" t="s">
        <v>2177</v>
      </c>
      <c r="E111" s="6">
        <v>44260.411435185182</v>
      </c>
      <c r="F111" s="3" t="s">
        <v>2276</v>
      </c>
      <c r="G111" s="6">
        <v>44260.411435185182</v>
      </c>
      <c r="H111" s="3" t="s">
        <v>2276</v>
      </c>
      <c r="I111" s="3" t="s">
        <v>170</v>
      </c>
      <c r="J111" s="3" t="s">
        <v>2090</v>
      </c>
    </row>
    <row r="112" spans="1:10" x14ac:dyDescent="0.2">
      <c r="A112" s="9">
        <v>236</v>
      </c>
      <c r="B112" s="3" t="s">
        <v>2162</v>
      </c>
      <c r="C112" s="3" t="s">
        <v>2163</v>
      </c>
      <c r="D112" s="3" t="s">
        <v>2282</v>
      </c>
      <c r="E112" s="6">
        <v>44260.41133101852</v>
      </c>
      <c r="F112" s="3" t="s">
        <v>2276</v>
      </c>
      <c r="G112" s="6">
        <v>44260.41133101852</v>
      </c>
      <c r="H112" s="3" t="s">
        <v>2276</v>
      </c>
      <c r="I112" s="3" t="s">
        <v>170</v>
      </c>
      <c r="J112" s="3" t="s">
        <v>2090</v>
      </c>
    </row>
    <row r="113" spans="1:10" x14ac:dyDescent="0.2">
      <c r="A113" s="9">
        <v>235</v>
      </c>
      <c r="B113" s="3" t="s">
        <v>2255</v>
      </c>
      <c r="C113" s="3" t="s">
        <v>2256</v>
      </c>
      <c r="D113" s="3" t="s">
        <v>2089</v>
      </c>
      <c r="E113" s="6">
        <v>44260.411215277774</v>
      </c>
      <c r="F113" s="3" t="s">
        <v>183</v>
      </c>
      <c r="G113" s="6">
        <v>44260.411215277774</v>
      </c>
      <c r="H113" s="3" t="s">
        <v>183</v>
      </c>
      <c r="I113" s="3" t="s">
        <v>170</v>
      </c>
      <c r="J113" s="3" t="s">
        <v>2090</v>
      </c>
    </row>
    <row r="114" spans="1:10" x14ac:dyDescent="0.2">
      <c r="A114" s="9">
        <v>234</v>
      </c>
      <c r="B114" s="3" t="s">
        <v>2162</v>
      </c>
      <c r="C114" s="3" t="s">
        <v>2163</v>
      </c>
      <c r="D114" s="3" t="s">
        <v>2177</v>
      </c>
      <c r="E114" s="6">
        <v>44260.411053240743</v>
      </c>
      <c r="F114" s="3" t="s">
        <v>2276</v>
      </c>
      <c r="G114" s="6">
        <v>44260.411053240743</v>
      </c>
      <c r="H114" s="3" t="s">
        <v>2276</v>
      </c>
      <c r="I114" s="3" t="s">
        <v>170</v>
      </c>
      <c r="J114" s="3" t="s">
        <v>2090</v>
      </c>
    </row>
    <row r="115" spans="1:10" x14ac:dyDescent="0.2">
      <c r="A115" s="9">
        <v>233</v>
      </c>
      <c r="B115" s="3" t="s">
        <v>2262</v>
      </c>
      <c r="C115" s="3" t="s">
        <v>2263</v>
      </c>
      <c r="D115" s="3" t="s">
        <v>2096</v>
      </c>
      <c r="E115" s="6">
        <v>44260.410868055558</v>
      </c>
      <c r="F115" s="3" t="s">
        <v>183</v>
      </c>
      <c r="G115" s="6">
        <v>44260.410868055558</v>
      </c>
      <c r="H115" s="3" t="s">
        <v>183</v>
      </c>
      <c r="I115" s="3" t="s">
        <v>170</v>
      </c>
      <c r="J115" s="3" t="s">
        <v>2090</v>
      </c>
    </row>
    <row r="116" spans="1:10" x14ac:dyDescent="0.2">
      <c r="A116" s="9">
        <v>232</v>
      </c>
      <c r="B116" s="3" t="s">
        <v>2264</v>
      </c>
      <c r="C116" s="3" t="s">
        <v>2265</v>
      </c>
      <c r="D116" s="3" t="s">
        <v>2093</v>
      </c>
      <c r="E116" s="6">
        <v>44260.410416666666</v>
      </c>
      <c r="F116" s="3" t="s">
        <v>183</v>
      </c>
      <c r="G116" s="6">
        <v>44260.410416666666</v>
      </c>
      <c r="H116" s="3" t="s">
        <v>183</v>
      </c>
      <c r="I116" s="3" t="s">
        <v>170</v>
      </c>
      <c r="J116" s="3" t="s">
        <v>2090</v>
      </c>
    </row>
    <row r="117" spans="1:10" x14ac:dyDescent="0.2">
      <c r="A117" s="9">
        <v>231</v>
      </c>
      <c r="B117" s="3" t="s">
        <v>2184</v>
      </c>
      <c r="C117" s="3" t="s">
        <v>2185</v>
      </c>
      <c r="D117" s="3" t="s">
        <v>2089</v>
      </c>
      <c r="E117" s="6">
        <v>44260.410057870373</v>
      </c>
      <c r="F117" s="3" t="s">
        <v>183</v>
      </c>
      <c r="G117" s="6">
        <v>44260.410057870373</v>
      </c>
      <c r="H117" s="3" t="s">
        <v>183</v>
      </c>
      <c r="I117" s="3" t="s">
        <v>170</v>
      </c>
      <c r="J117" s="3" t="s">
        <v>2090</v>
      </c>
    </row>
    <row r="118" spans="1:10" x14ac:dyDescent="0.2">
      <c r="A118" s="9">
        <v>230</v>
      </c>
      <c r="B118" s="3" t="s">
        <v>2186</v>
      </c>
      <c r="C118" s="3" t="s">
        <v>2187</v>
      </c>
      <c r="D118" s="3" t="s">
        <v>2093</v>
      </c>
      <c r="E118" s="6">
        <v>44260.409814814811</v>
      </c>
      <c r="F118" s="3" t="s">
        <v>183</v>
      </c>
      <c r="G118" s="6">
        <v>44260.409814814811</v>
      </c>
      <c r="H118" s="3" t="s">
        <v>183</v>
      </c>
      <c r="I118" s="3" t="s">
        <v>170</v>
      </c>
      <c r="J118" s="3" t="s">
        <v>2090</v>
      </c>
    </row>
    <row r="119" spans="1:10" x14ac:dyDescent="0.2">
      <c r="A119" s="9">
        <v>229</v>
      </c>
      <c r="B119" s="3" t="s">
        <v>2190</v>
      </c>
      <c r="C119" s="3" t="s">
        <v>2191</v>
      </c>
      <c r="D119" s="3" t="s">
        <v>2089</v>
      </c>
      <c r="E119" s="6">
        <v>44260.409305555557</v>
      </c>
      <c r="F119" s="3" t="s">
        <v>183</v>
      </c>
      <c r="G119" s="6">
        <v>44260.409305555557</v>
      </c>
      <c r="H119" s="3" t="s">
        <v>183</v>
      </c>
      <c r="I119" s="3" t="s">
        <v>170</v>
      </c>
      <c r="J119" s="3" t="s">
        <v>2090</v>
      </c>
    </row>
    <row r="120" spans="1:10" x14ac:dyDescent="0.2">
      <c r="A120" s="9">
        <v>228</v>
      </c>
      <c r="B120" s="3" t="s">
        <v>2192</v>
      </c>
      <c r="C120" s="3" t="s">
        <v>2193</v>
      </c>
      <c r="D120" s="3" t="s">
        <v>2093</v>
      </c>
      <c r="E120" s="6">
        <v>44260.408877314818</v>
      </c>
      <c r="F120" s="3" t="s">
        <v>183</v>
      </c>
      <c r="G120" s="6">
        <v>44260.408877314818</v>
      </c>
      <c r="H120" s="3" t="s">
        <v>183</v>
      </c>
      <c r="I120" s="3" t="s">
        <v>170</v>
      </c>
      <c r="J120" s="3" t="s">
        <v>2090</v>
      </c>
    </row>
    <row r="121" spans="1:10" x14ac:dyDescent="0.2">
      <c r="A121" s="9">
        <v>227</v>
      </c>
      <c r="B121" s="3" t="s">
        <v>2196</v>
      </c>
      <c r="C121" s="3" t="s">
        <v>2197</v>
      </c>
      <c r="D121" s="3" t="s">
        <v>2089</v>
      </c>
      <c r="E121" s="6">
        <v>44260.408553240741</v>
      </c>
      <c r="F121" s="3" t="s">
        <v>183</v>
      </c>
      <c r="G121" s="6">
        <v>44260.408553240741</v>
      </c>
      <c r="H121" s="3" t="s">
        <v>183</v>
      </c>
      <c r="I121" s="3" t="s">
        <v>170</v>
      </c>
      <c r="J121" s="3" t="s">
        <v>2090</v>
      </c>
    </row>
    <row r="122" spans="1:10" x14ac:dyDescent="0.2">
      <c r="A122" s="9">
        <v>226</v>
      </c>
      <c r="B122" s="3" t="s">
        <v>2202</v>
      </c>
      <c r="C122" s="3" t="s">
        <v>2203</v>
      </c>
      <c r="D122" s="3" t="s">
        <v>2103</v>
      </c>
      <c r="E122" s="6">
        <v>44260.408171296294</v>
      </c>
      <c r="F122" s="3" t="s">
        <v>183</v>
      </c>
      <c r="G122" s="6">
        <v>44260.408171296294</v>
      </c>
      <c r="H122" s="3" t="s">
        <v>183</v>
      </c>
      <c r="I122" s="3" t="s">
        <v>170</v>
      </c>
      <c r="J122" s="3" t="s">
        <v>2090</v>
      </c>
    </row>
    <row r="123" spans="1:10" x14ac:dyDescent="0.2">
      <c r="A123" s="9">
        <v>225</v>
      </c>
      <c r="B123" s="3" t="s">
        <v>2198</v>
      </c>
      <c r="C123" s="3" t="s">
        <v>2199</v>
      </c>
      <c r="D123" s="3" t="s">
        <v>2146</v>
      </c>
      <c r="E123" s="6">
        <v>44260.407800925925</v>
      </c>
      <c r="F123" s="3" t="s">
        <v>183</v>
      </c>
      <c r="G123" s="6">
        <v>44260.407800925925</v>
      </c>
      <c r="H123" s="3" t="s">
        <v>183</v>
      </c>
      <c r="I123" s="3" t="s">
        <v>170</v>
      </c>
      <c r="J123" s="3" t="s">
        <v>2090</v>
      </c>
    </row>
    <row r="124" spans="1:10" x14ac:dyDescent="0.2">
      <c r="A124" s="9">
        <v>224</v>
      </c>
      <c r="B124" s="3" t="s">
        <v>2270</v>
      </c>
      <c r="C124" s="3" t="s">
        <v>2271</v>
      </c>
      <c r="D124" s="3" t="s">
        <v>2103</v>
      </c>
      <c r="E124" s="6">
        <v>44260.407511574071</v>
      </c>
      <c r="F124" s="3" t="s">
        <v>183</v>
      </c>
      <c r="G124" s="6">
        <v>44260.407511574071</v>
      </c>
      <c r="H124" s="3" t="s">
        <v>183</v>
      </c>
      <c r="I124" s="3" t="s">
        <v>170</v>
      </c>
      <c r="J124" s="3" t="s">
        <v>2090</v>
      </c>
    </row>
    <row r="125" spans="1:10" x14ac:dyDescent="0.2">
      <c r="A125" s="9">
        <v>223</v>
      </c>
      <c r="B125" s="3" t="s">
        <v>2268</v>
      </c>
      <c r="C125" s="3" t="s">
        <v>2269</v>
      </c>
      <c r="D125" s="3" t="s">
        <v>2277</v>
      </c>
      <c r="E125" s="6">
        <v>44260.40730324074</v>
      </c>
      <c r="F125" s="3" t="s">
        <v>183</v>
      </c>
      <c r="G125" s="6">
        <v>44260.40730324074</v>
      </c>
      <c r="H125" s="3" t="s">
        <v>183</v>
      </c>
      <c r="I125" s="3" t="s">
        <v>170</v>
      </c>
      <c r="J125" s="3" t="s">
        <v>2090</v>
      </c>
    </row>
    <row r="126" spans="1:10" x14ac:dyDescent="0.2">
      <c r="A126" s="9">
        <v>222</v>
      </c>
      <c r="B126" s="3" t="s">
        <v>2229</v>
      </c>
      <c r="C126" s="3" t="s">
        <v>2230</v>
      </c>
      <c r="D126" s="3" t="s">
        <v>2103</v>
      </c>
      <c r="E126" s="6">
        <v>44260.407013888886</v>
      </c>
      <c r="F126" s="3" t="s">
        <v>183</v>
      </c>
      <c r="G126" s="6">
        <v>44260.407013888886</v>
      </c>
      <c r="H126" s="3" t="s">
        <v>183</v>
      </c>
      <c r="I126" s="3" t="s">
        <v>170</v>
      </c>
      <c r="J126" s="3" t="s">
        <v>2090</v>
      </c>
    </row>
    <row r="127" spans="1:10" x14ac:dyDescent="0.2">
      <c r="A127" s="9">
        <v>221</v>
      </c>
      <c r="B127" s="3" t="s">
        <v>2231</v>
      </c>
      <c r="C127" s="3" t="s">
        <v>2232</v>
      </c>
      <c r="D127" s="3" t="s">
        <v>2103</v>
      </c>
      <c r="E127" s="6">
        <v>44260.406631944446</v>
      </c>
      <c r="F127" s="3" t="s">
        <v>183</v>
      </c>
      <c r="G127" s="6">
        <v>44260.406631944446</v>
      </c>
      <c r="H127" s="3" t="s">
        <v>183</v>
      </c>
      <c r="I127" s="3" t="s">
        <v>170</v>
      </c>
      <c r="J127" s="3" t="s">
        <v>2090</v>
      </c>
    </row>
    <row r="128" spans="1:10" x14ac:dyDescent="0.2">
      <c r="A128" s="9">
        <v>220</v>
      </c>
      <c r="B128" s="3" t="s">
        <v>2233</v>
      </c>
      <c r="C128" s="3" t="s">
        <v>2234</v>
      </c>
      <c r="D128" s="3" t="s">
        <v>2103</v>
      </c>
      <c r="E128" s="6">
        <v>44260.406354166669</v>
      </c>
      <c r="F128" s="3" t="s">
        <v>183</v>
      </c>
      <c r="G128" s="6">
        <v>44260.406354166669</v>
      </c>
      <c r="H128" s="3" t="s">
        <v>183</v>
      </c>
      <c r="I128" s="3" t="s">
        <v>170</v>
      </c>
      <c r="J128" s="3" t="s">
        <v>2090</v>
      </c>
    </row>
    <row r="129" spans="1:10" x14ac:dyDescent="0.2">
      <c r="A129" s="9">
        <v>219</v>
      </c>
      <c r="B129" s="3" t="s">
        <v>2235</v>
      </c>
      <c r="C129" s="3" t="s">
        <v>2236</v>
      </c>
      <c r="D129" s="3" t="s">
        <v>2103</v>
      </c>
      <c r="E129" s="6">
        <v>44260.406053240738</v>
      </c>
      <c r="F129" s="3" t="s">
        <v>183</v>
      </c>
      <c r="G129" s="6">
        <v>44260.406053240738</v>
      </c>
      <c r="H129" s="3" t="s">
        <v>183</v>
      </c>
      <c r="I129" s="3" t="s">
        <v>170</v>
      </c>
      <c r="J129" s="3" t="s">
        <v>2090</v>
      </c>
    </row>
    <row r="130" spans="1:10" x14ac:dyDescent="0.2">
      <c r="A130" s="9">
        <v>218</v>
      </c>
      <c r="B130" s="3" t="s">
        <v>2200</v>
      </c>
      <c r="C130" s="3" t="s">
        <v>2201</v>
      </c>
      <c r="D130" s="3" t="s">
        <v>2277</v>
      </c>
      <c r="E130" s="6">
        <v>44260.405555555553</v>
      </c>
      <c r="F130" s="3" t="s">
        <v>183</v>
      </c>
      <c r="G130" s="6">
        <v>44260.405555555553</v>
      </c>
      <c r="H130" s="3" t="s">
        <v>183</v>
      </c>
      <c r="I130" s="3" t="s">
        <v>170</v>
      </c>
      <c r="J130" s="3" t="s">
        <v>2090</v>
      </c>
    </row>
    <row r="131" spans="1:10" x14ac:dyDescent="0.2">
      <c r="A131" s="9">
        <v>217</v>
      </c>
      <c r="B131" s="3" t="s">
        <v>2272</v>
      </c>
      <c r="C131" s="3" t="s">
        <v>2273</v>
      </c>
      <c r="D131" s="3" t="s">
        <v>2096</v>
      </c>
      <c r="E131" s="6">
        <v>44260.403587962966</v>
      </c>
      <c r="F131" s="3" t="s">
        <v>183</v>
      </c>
      <c r="G131" s="6">
        <v>44260.403587962966</v>
      </c>
      <c r="H131" s="3" t="s">
        <v>183</v>
      </c>
      <c r="I131" s="3" t="s">
        <v>170</v>
      </c>
      <c r="J131" s="3" t="s">
        <v>2090</v>
      </c>
    </row>
    <row r="132" spans="1:10" x14ac:dyDescent="0.2">
      <c r="A132" s="9">
        <v>216</v>
      </c>
      <c r="B132" s="3" t="s">
        <v>2087</v>
      </c>
      <c r="C132" s="3" t="s">
        <v>2088</v>
      </c>
      <c r="D132" s="3" t="s">
        <v>2089</v>
      </c>
      <c r="E132" s="6">
        <v>44260.403379629628</v>
      </c>
      <c r="F132" s="3" t="s">
        <v>183</v>
      </c>
      <c r="G132" s="6">
        <v>44260.403379629628</v>
      </c>
      <c r="H132" s="3" t="s">
        <v>183</v>
      </c>
      <c r="I132" s="3" t="s">
        <v>170</v>
      </c>
      <c r="J132" s="3" t="s">
        <v>2090</v>
      </c>
    </row>
    <row r="133" spans="1:10" x14ac:dyDescent="0.2">
      <c r="A133" s="9">
        <v>215</v>
      </c>
      <c r="B133" s="3" t="s">
        <v>2091</v>
      </c>
      <c r="C133" s="3" t="s">
        <v>2092</v>
      </c>
      <c r="D133" s="3" t="s">
        <v>2096</v>
      </c>
      <c r="E133" s="6">
        <v>44260.403032407405</v>
      </c>
      <c r="F133" s="3" t="s">
        <v>183</v>
      </c>
      <c r="G133" s="6">
        <v>44260.403032407405</v>
      </c>
      <c r="H133" s="3" t="s">
        <v>183</v>
      </c>
      <c r="I133" s="3" t="s">
        <v>170</v>
      </c>
      <c r="J133" s="3" t="s">
        <v>2090</v>
      </c>
    </row>
    <row r="134" spans="1:10" x14ac:dyDescent="0.2">
      <c r="A134" s="9">
        <v>214</v>
      </c>
      <c r="B134" s="3" t="s">
        <v>2106</v>
      </c>
      <c r="C134" s="3" t="s">
        <v>2107</v>
      </c>
      <c r="D134" s="3" t="s">
        <v>2275</v>
      </c>
      <c r="E134" s="6">
        <v>44260.361967592595</v>
      </c>
      <c r="F134" s="3" t="s">
        <v>183</v>
      </c>
      <c r="G134" s="6">
        <v>44260.361967592595</v>
      </c>
      <c r="H134" s="3" t="s">
        <v>183</v>
      </c>
      <c r="I134" s="3" t="s">
        <v>170</v>
      </c>
      <c r="J134" s="3" t="s">
        <v>2090</v>
      </c>
    </row>
    <row r="135" spans="1:10" x14ac:dyDescent="0.2">
      <c r="A135" s="9">
        <v>213</v>
      </c>
      <c r="B135" s="3" t="s">
        <v>2108</v>
      </c>
      <c r="C135" s="3" t="s">
        <v>2109</v>
      </c>
      <c r="D135" s="3" t="s">
        <v>2275</v>
      </c>
      <c r="E135" s="6">
        <v>44260.361712962964</v>
      </c>
      <c r="F135" s="3" t="s">
        <v>183</v>
      </c>
      <c r="G135" s="6">
        <v>44260.361712962964</v>
      </c>
      <c r="H135" s="3" t="s">
        <v>183</v>
      </c>
      <c r="I135" s="3" t="s">
        <v>170</v>
      </c>
      <c r="J135" s="3" t="s">
        <v>2090</v>
      </c>
    </row>
    <row r="136" spans="1:10" x14ac:dyDescent="0.2">
      <c r="A136" s="9">
        <v>212</v>
      </c>
      <c r="B136" s="3" t="s">
        <v>2205</v>
      </c>
      <c r="C136" s="3" t="s">
        <v>2206</v>
      </c>
      <c r="D136" s="3" t="s">
        <v>2275</v>
      </c>
      <c r="E136" s="6">
        <v>44260.36146990741</v>
      </c>
      <c r="F136" s="3" t="s">
        <v>183</v>
      </c>
      <c r="G136" s="6">
        <v>44260.36146990741</v>
      </c>
      <c r="H136" s="3" t="s">
        <v>183</v>
      </c>
      <c r="I136" s="3" t="s">
        <v>170</v>
      </c>
      <c r="J136" s="3" t="s">
        <v>2090</v>
      </c>
    </row>
    <row r="137" spans="1:10" x14ac:dyDescent="0.2">
      <c r="A137" s="9">
        <v>211</v>
      </c>
      <c r="B137" s="3" t="s">
        <v>2101</v>
      </c>
      <c r="C137" s="3" t="s">
        <v>2102</v>
      </c>
      <c r="D137" s="3" t="s">
        <v>2275</v>
      </c>
      <c r="E137" s="6">
        <v>44260.360694444447</v>
      </c>
      <c r="F137" s="3" t="s">
        <v>183</v>
      </c>
      <c r="G137" s="6">
        <v>44260.360694444447</v>
      </c>
      <c r="H137" s="3" t="s">
        <v>183</v>
      </c>
      <c r="I137" s="3" t="s">
        <v>170</v>
      </c>
      <c r="J137" s="3" t="s">
        <v>2090</v>
      </c>
    </row>
    <row r="138" spans="1:10" x14ac:dyDescent="0.2">
      <c r="A138" s="9">
        <v>210</v>
      </c>
      <c r="B138" s="3" t="s">
        <v>2104</v>
      </c>
      <c r="C138" s="3" t="s">
        <v>2105</v>
      </c>
      <c r="D138" s="3" t="s">
        <v>2275</v>
      </c>
      <c r="E138" s="6">
        <v>44260.359629629631</v>
      </c>
      <c r="F138" s="3" t="s">
        <v>183</v>
      </c>
      <c r="G138" s="6">
        <v>44260.359629629631</v>
      </c>
      <c r="H138" s="3" t="s">
        <v>183</v>
      </c>
      <c r="I138" s="3" t="s">
        <v>170</v>
      </c>
      <c r="J138" s="3" t="s">
        <v>2090</v>
      </c>
    </row>
    <row r="139" spans="1:10" x14ac:dyDescent="0.2">
      <c r="A139" s="9">
        <v>209</v>
      </c>
      <c r="B139" s="3" t="s">
        <v>2094</v>
      </c>
      <c r="C139" s="3" t="s">
        <v>2095</v>
      </c>
      <c r="D139" s="3" t="s">
        <v>2096</v>
      </c>
      <c r="E139" s="6">
        <v>44260.358993055554</v>
      </c>
      <c r="F139" s="3" t="s">
        <v>183</v>
      </c>
      <c r="G139" s="6">
        <v>44260.358993055554</v>
      </c>
      <c r="H139" s="3" t="s">
        <v>183</v>
      </c>
      <c r="I139" s="3" t="s">
        <v>170</v>
      </c>
      <c r="J139" s="3" t="s">
        <v>2090</v>
      </c>
    </row>
    <row r="140" spans="1:10" x14ac:dyDescent="0.2">
      <c r="A140" s="9">
        <v>208</v>
      </c>
      <c r="B140" s="3" t="s">
        <v>2097</v>
      </c>
      <c r="C140" s="3" t="s">
        <v>2098</v>
      </c>
      <c r="D140" s="3" t="s">
        <v>2277</v>
      </c>
      <c r="E140" s="6">
        <v>44260.358680555553</v>
      </c>
      <c r="F140" s="3" t="s">
        <v>183</v>
      </c>
      <c r="G140" s="6">
        <v>44260.358680555553</v>
      </c>
      <c r="H140" s="3" t="s">
        <v>183</v>
      </c>
      <c r="I140" s="3" t="s">
        <v>170</v>
      </c>
      <c r="J140" s="3" t="s">
        <v>2090</v>
      </c>
    </row>
    <row r="141" spans="1:10" x14ac:dyDescent="0.2">
      <c r="A141" s="9">
        <v>207</v>
      </c>
      <c r="B141" s="3" t="s">
        <v>2099</v>
      </c>
      <c r="C141" s="3" t="s">
        <v>2100</v>
      </c>
      <c r="D141" s="3" t="s">
        <v>2277</v>
      </c>
      <c r="E141" s="6">
        <v>44260.35837962963</v>
      </c>
      <c r="F141" s="3" t="s">
        <v>183</v>
      </c>
      <c r="G141" s="6">
        <v>44260.35837962963</v>
      </c>
      <c r="H141" s="3" t="s">
        <v>183</v>
      </c>
      <c r="I141" s="3" t="s">
        <v>170</v>
      </c>
      <c r="J141" s="3" t="s">
        <v>2090</v>
      </c>
    </row>
    <row r="142" spans="1:10" x14ac:dyDescent="0.2">
      <c r="A142" s="9">
        <v>206</v>
      </c>
      <c r="B142" s="3" t="s">
        <v>2246</v>
      </c>
      <c r="C142" s="3" t="s">
        <v>2247</v>
      </c>
      <c r="D142" s="3" t="s">
        <v>2096</v>
      </c>
      <c r="E142" s="6">
        <v>44260.357847222222</v>
      </c>
      <c r="F142" s="3" t="s">
        <v>183</v>
      </c>
      <c r="G142" s="6">
        <v>44260.357847222222</v>
      </c>
      <c r="H142" s="3" t="s">
        <v>183</v>
      </c>
      <c r="I142" s="3" t="s">
        <v>170</v>
      </c>
      <c r="J142" s="3" t="s">
        <v>2090</v>
      </c>
    </row>
    <row r="143" spans="1:10" x14ac:dyDescent="0.2">
      <c r="A143" s="9">
        <v>205</v>
      </c>
      <c r="B143" s="3" t="s">
        <v>2110</v>
      </c>
      <c r="C143" s="3" t="s">
        <v>2111</v>
      </c>
      <c r="D143" s="3" t="s">
        <v>2103</v>
      </c>
      <c r="E143" s="6">
        <v>44260.357222222221</v>
      </c>
      <c r="F143" s="3" t="s">
        <v>183</v>
      </c>
      <c r="G143" s="6">
        <v>44260.357222222221</v>
      </c>
      <c r="H143" s="3" t="s">
        <v>183</v>
      </c>
      <c r="I143" s="3" t="s">
        <v>170</v>
      </c>
      <c r="J143" s="3" t="s">
        <v>2090</v>
      </c>
    </row>
    <row r="144" spans="1:10" x14ac:dyDescent="0.2">
      <c r="A144" s="9">
        <v>204</v>
      </c>
      <c r="B144" s="3" t="s">
        <v>2114</v>
      </c>
      <c r="C144" s="3" t="s">
        <v>2115</v>
      </c>
      <c r="D144" s="3" t="s">
        <v>2103</v>
      </c>
      <c r="E144" s="6">
        <v>44260.35701388889</v>
      </c>
      <c r="F144" s="3" t="s">
        <v>183</v>
      </c>
      <c r="G144" s="6">
        <v>44260.35701388889</v>
      </c>
      <c r="H144" s="3" t="s">
        <v>183</v>
      </c>
      <c r="I144" s="3" t="s">
        <v>170</v>
      </c>
      <c r="J144" s="3" t="s">
        <v>2090</v>
      </c>
    </row>
    <row r="145" spans="1:10" x14ac:dyDescent="0.2">
      <c r="A145" s="9">
        <v>203</v>
      </c>
      <c r="B145" s="3" t="s">
        <v>2119</v>
      </c>
      <c r="C145" s="3" t="s">
        <v>2120</v>
      </c>
      <c r="D145" s="3" t="s">
        <v>2124</v>
      </c>
      <c r="E145" s="6">
        <v>44260.356516203705</v>
      </c>
      <c r="F145" s="3" t="s">
        <v>183</v>
      </c>
      <c r="G145" s="6">
        <v>44260.356516203705</v>
      </c>
      <c r="H145" s="3" t="s">
        <v>183</v>
      </c>
      <c r="I145" s="3" t="s">
        <v>170</v>
      </c>
      <c r="J145" s="3" t="s">
        <v>2090</v>
      </c>
    </row>
    <row r="146" spans="1:10" x14ac:dyDescent="0.2">
      <c r="A146" s="9">
        <v>202</v>
      </c>
      <c r="B146" s="3" t="s">
        <v>2122</v>
      </c>
      <c r="C146" s="3" t="s">
        <v>2123</v>
      </c>
      <c r="D146" s="3" t="s">
        <v>2124</v>
      </c>
      <c r="E146" s="6">
        <v>44260.356215277781</v>
      </c>
      <c r="F146" s="3" t="s">
        <v>183</v>
      </c>
      <c r="G146" s="6">
        <v>44260.356215277781</v>
      </c>
      <c r="H146" s="3" t="s">
        <v>183</v>
      </c>
      <c r="I146" s="3" t="s">
        <v>170</v>
      </c>
      <c r="J146" s="3" t="s">
        <v>2090</v>
      </c>
    </row>
    <row r="147" spans="1:10" x14ac:dyDescent="0.2">
      <c r="A147" s="9">
        <v>201</v>
      </c>
      <c r="B147" s="3" t="s">
        <v>2212</v>
      </c>
      <c r="C147" s="3" t="s">
        <v>2213</v>
      </c>
      <c r="D147" s="3" t="s">
        <v>2103</v>
      </c>
      <c r="E147" s="6">
        <v>44260.355092592596</v>
      </c>
      <c r="F147" s="3" t="s">
        <v>183</v>
      </c>
      <c r="G147" s="6">
        <v>44260.355092592596</v>
      </c>
      <c r="H147" s="3" t="s">
        <v>183</v>
      </c>
      <c r="I147" s="3" t="s">
        <v>170</v>
      </c>
      <c r="J147" s="3" t="s">
        <v>2090</v>
      </c>
    </row>
    <row r="148" spans="1:10" x14ac:dyDescent="0.2">
      <c r="A148" s="9">
        <v>200</v>
      </c>
      <c r="B148" s="3" t="s">
        <v>2214</v>
      </c>
      <c r="C148" s="3" t="s">
        <v>2215</v>
      </c>
      <c r="D148" s="3" t="s">
        <v>2089</v>
      </c>
      <c r="E148" s="6">
        <v>44260.353680555556</v>
      </c>
      <c r="F148" s="3" t="s">
        <v>183</v>
      </c>
      <c r="G148" s="6">
        <v>44260.353680555556</v>
      </c>
      <c r="H148" s="3" t="s">
        <v>183</v>
      </c>
      <c r="I148" s="3" t="s">
        <v>170</v>
      </c>
      <c r="J148" s="3" t="s">
        <v>2090</v>
      </c>
    </row>
    <row r="149" spans="1:10" x14ac:dyDescent="0.2">
      <c r="A149" s="9">
        <v>199</v>
      </c>
      <c r="B149" s="3" t="s">
        <v>2125</v>
      </c>
      <c r="C149" s="3" t="s">
        <v>2126</v>
      </c>
      <c r="D149" s="3" t="s">
        <v>2096</v>
      </c>
      <c r="E149" s="6">
        <v>44260.353356481479</v>
      </c>
      <c r="F149" s="3" t="s">
        <v>183</v>
      </c>
      <c r="G149" s="6">
        <v>44260.353356481479</v>
      </c>
      <c r="H149" s="3" t="s">
        <v>183</v>
      </c>
      <c r="I149" s="3" t="s">
        <v>170</v>
      </c>
      <c r="J149" s="3" t="s">
        <v>2090</v>
      </c>
    </row>
    <row r="150" spans="1:10" x14ac:dyDescent="0.2">
      <c r="A150" s="9">
        <v>198</v>
      </c>
      <c r="B150" s="3" t="s">
        <v>2127</v>
      </c>
      <c r="C150" s="3" t="s">
        <v>2128</v>
      </c>
      <c r="D150" s="3" t="s">
        <v>2096</v>
      </c>
      <c r="E150" s="6">
        <v>44260.353148148148</v>
      </c>
      <c r="F150" s="3" t="s">
        <v>183</v>
      </c>
      <c r="G150" s="6">
        <v>44260.353148148148</v>
      </c>
      <c r="H150" s="3" t="s">
        <v>183</v>
      </c>
      <c r="I150" s="3" t="s">
        <v>170</v>
      </c>
      <c r="J150" s="3" t="s">
        <v>2090</v>
      </c>
    </row>
    <row r="151" spans="1:10" x14ac:dyDescent="0.2">
      <c r="A151" s="9">
        <v>197</v>
      </c>
      <c r="B151" s="3" t="s">
        <v>2216</v>
      </c>
      <c r="C151" s="3" t="s">
        <v>2217</v>
      </c>
      <c r="D151" s="3" t="s">
        <v>2089</v>
      </c>
      <c r="E151" s="6">
        <v>44260.352685185186</v>
      </c>
      <c r="F151" s="3" t="s">
        <v>183</v>
      </c>
      <c r="G151" s="6">
        <v>44260.352685185186</v>
      </c>
      <c r="H151" s="3" t="s">
        <v>183</v>
      </c>
      <c r="I151" s="3" t="s">
        <v>170</v>
      </c>
      <c r="J151" s="3" t="s">
        <v>2090</v>
      </c>
    </row>
    <row r="152" spans="1:10" x14ac:dyDescent="0.2">
      <c r="A152" s="9">
        <v>196</v>
      </c>
      <c r="B152" s="3" t="s">
        <v>2225</v>
      </c>
      <c r="C152" s="3" t="s">
        <v>2226</v>
      </c>
      <c r="D152" s="3" t="s">
        <v>2103</v>
      </c>
      <c r="E152" s="6">
        <v>44260.350810185184</v>
      </c>
      <c r="F152" s="3" t="s">
        <v>183</v>
      </c>
      <c r="G152" s="6">
        <v>44260.350810185184</v>
      </c>
      <c r="H152" s="3" t="s">
        <v>183</v>
      </c>
      <c r="I152" s="3" t="s">
        <v>170</v>
      </c>
      <c r="J152" s="3" t="s">
        <v>2090</v>
      </c>
    </row>
    <row r="153" spans="1:10" x14ac:dyDescent="0.2">
      <c r="A153" s="9">
        <v>195</v>
      </c>
      <c r="B153" s="3" t="s">
        <v>41</v>
      </c>
      <c r="C153" s="3" t="s">
        <v>2245</v>
      </c>
      <c r="D153" s="3" t="s">
        <v>2103</v>
      </c>
      <c r="E153" s="6">
        <v>44260.349537037036</v>
      </c>
      <c r="F153" s="3" t="s">
        <v>183</v>
      </c>
      <c r="G153" s="6">
        <v>44260.349537037036</v>
      </c>
      <c r="H153" s="3" t="s">
        <v>183</v>
      </c>
      <c r="I153" s="3" t="s">
        <v>170</v>
      </c>
      <c r="J153" s="3" t="s">
        <v>2090</v>
      </c>
    </row>
    <row r="154" spans="1:10" x14ac:dyDescent="0.2">
      <c r="A154" s="9">
        <v>194</v>
      </c>
      <c r="B154" s="3" t="s">
        <v>2155</v>
      </c>
      <c r="C154" s="3" t="s">
        <v>2156</v>
      </c>
      <c r="D154" s="3" t="s">
        <v>2093</v>
      </c>
      <c r="E154" s="6">
        <v>44260.348854166667</v>
      </c>
      <c r="F154" s="3" t="s">
        <v>183</v>
      </c>
      <c r="G154" s="6">
        <v>44260.348854166667</v>
      </c>
      <c r="H154" s="3" t="s">
        <v>183</v>
      </c>
      <c r="I154" s="3" t="s">
        <v>170</v>
      </c>
      <c r="J154" s="3" t="s">
        <v>2090</v>
      </c>
    </row>
    <row r="155" spans="1:10" x14ac:dyDescent="0.2">
      <c r="A155" s="9">
        <v>193</v>
      </c>
      <c r="B155" s="3" t="s">
        <v>2221</v>
      </c>
      <c r="C155" s="3" t="s">
        <v>2222</v>
      </c>
      <c r="D155" s="3" t="s">
        <v>2275</v>
      </c>
      <c r="E155" s="6">
        <v>44260.347997685189</v>
      </c>
      <c r="F155" s="3" t="s">
        <v>183</v>
      </c>
      <c r="G155" s="6">
        <v>44260.347997685189</v>
      </c>
      <c r="H155" s="3" t="s">
        <v>183</v>
      </c>
      <c r="I155" s="3" t="s">
        <v>170</v>
      </c>
      <c r="J155" s="3" t="s">
        <v>2090</v>
      </c>
    </row>
    <row r="156" spans="1:10" x14ac:dyDescent="0.2">
      <c r="A156" s="9">
        <v>192</v>
      </c>
      <c r="B156" s="3" t="s">
        <v>2221</v>
      </c>
      <c r="C156" s="3" t="s">
        <v>2222</v>
      </c>
      <c r="D156" s="3" t="s">
        <v>2275</v>
      </c>
      <c r="E156" s="6">
        <v>44260.339942129627</v>
      </c>
      <c r="F156" s="3" t="s">
        <v>183</v>
      </c>
      <c r="G156" s="6">
        <v>44260.339942129627</v>
      </c>
      <c r="H156" s="3" t="s">
        <v>183</v>
      </c>
      <c r="I156" s="3" t="s">
        <v>170</v>
      </c>
      <c r="J156" s="3" t="s">
        <v>2090</v>
      </c>
    </row>
    <row r="157" spans="1:10" x14ac:dyDescent="0.2">
      <c r="A157" s="9">
        <v>191</v>
      </c>
      <c r="B157" s="3" t="s">
        <v>2221</v>
      </c>
      <c r="C157" s="3" t="s">
        <v>2222</v>
      </c>
      <c r="D157" s="3" t="s">
        <v>2275</v>
      </c>
      <c r="E157" s="6">
        <v>44260.338703703703</v>
      </c>
      <c r="F157" s="3" t="s">
        <v>183</v>
      </c>
      <c r="G157" s="6">
        <v>44260.338703703703</v>
      </c>
      <c r="H157" s="3" t="s">
        <v>183</v>
      </c>
      <c r="I157" s="3" t="s">
        <v>170</v>
      </c>
      <c r="J157" s="3" t="s">
        <v>2090</v>
      </c>
    </row>
    <row r="158" spans="1:10" x14ac:dyDescent="0.2">
      <c r="A158" s="9">
        <v>190</v>
      </c>
      <c r="B158" s="3" t="s">
        <v>2112</v>
      </c>
      <c r="C158" s="3" t="s">
        <v>31</v>
      </c>
      <c r="D158" s="3" t="s">
        <v>2146</v>
      </c>
      <c r="E158" s="6">
        <v>44260.338356481479</v>
      </c>
      <c r="F158" s="3" t="s">
        <v>183</v>
      </c>
      <c r="G158" s="6">
        <v>44260.338356481479</v>
      </c>
      <c r="H158" s="3" t="s">
        <v>183</v>
      </c>
      <c r="I158" s="3" t="s">
        <v>170</v>
      </c>
      <c r="J158" s="3" t="s">
        <v>2090</v>
      </c>
    </row>
    <row r="159" spans="1:10" x14ac:dyDescent="0.2">
      <c r="A159" s="9">
        <v>189</v>
      </c>
      <c r="B159" s="3" t="s">
        <v>2137</v>
      </c>
      <c r="C159" s="3" t="s">
        <v>2138</v>
      </c>
      <c r="D159" s="3" t="s">
        <v>2146</v>
      </c>
      <c r="E159" s="6">
        <v>44260.337592592594</v>
      </c>
      <c r="F159" s="3" t="s">
        <v>183</v>
      </c>
      <c r="G159" s="6">
        <v>44260.337592592594</v>
      </c>
      <c r="H159" s="3" t="s">
        <v>183</v>
      </c>
      <c r="I159" s="3" t="s">
        <v>170</v>
      </c>
      <c r="J159" s="3" t="s">
        <v>2090</v>
      </c>
    </row>
    <row r="160" spans="1:10" x14ac:dyDescent="0.2">
      <c r="A160" s="9">
        <v>188</v>
      </c>
      <c r="B160" s="3" t="s">
        <v>2223</v>
      </c>
      <c r="C160" s="3" t="s">
        <v>2224</v>
      </c>
      <c r="D160" s="3" t="s">
        <v>2146</v>
      </c>
      <c r="E160" s="6">
        <v>44260.337268518517</v>
      </c>
      <c r="F160" s="3" t="s">
        <v>183</v>
      </c>
      <c r="G160" s="6">
        <v>44260.337268518517</v>
      </c>
      <c r="H160" s="3" t="s">
        <v>183</v>
      </c>
      <c r="I160" s="3" t="s">
        <v>170</v>
      </c>
      <c r="J160" s="3" t="s">
        <v>2090</v>
      </c>
    </row>
    <row r="161" spans="1:10" x14ac:dyDescent="0.2">
      <c r="A161" s="9">
        <v>187</v>
      </c>
      <c r="B161" s="3" t="s">
        <v>2129</v>
      </c>
      <c r="C161" s="3" t="s">
        <v>2130</v>
      </c>
      <c r="D161" s="3" t="s">
        <v>2089</v>
      </c>
      <c r="E161" s="6">
        <v>44260.336898148147</v>
      </c>
      <c r="F161" s="3" t="s">
        <v>183</v>
      </c>
      <c r="G161" s="6">
        <v>44260.336898148147</v>
      </c>
      <c r="H161" s="3" t="s">
        <v>183</v>
      </c>
      <c r="I161" s="3" t="s">
        <v>170</v>
      </c>
      <c r="J161" s="3" t="s">
        <v>2090</v>
      </c>
    </row>
    <row r="162" spans="1:10" x14ac:dyDescent="0.2">
      <c r="A162" s="9">
        <v>186</v>
      </c>
      <c r="B162" s="3" t="s">
        <v>32</v>
      </c>
      <c r="C162" s="3" t="s">
        <v>2135</v>
      </c>
      <c r="D162" s="3" t="s">
        <v>2277</v>
      </c>
      <c r="E162" s="6">
        <v>44260.336076388892</v>
      </c>
      <c r="F162" s="3" t="s">
        <v>183</v>
      </c>
      <c r="G162" s="6">
        <v>44260.336076388892</v>
      </c>
      <c r="H162" s="3" t="s">
        <v>183</v>
      </c>
      <c r="I162" s="3" t="s">
        <v>170</v>
      </c>
      <c r="J162" s="3" t="s">
        <v>2090</v>
      </c>
    </row>
    <row r="163" spans="1:10" x14ac:dyDescent="0.2">
      <c r="A163" s="9">
        <v>185</v>
      </c>
      <c r="B163" s="3" t="s">
        <v>2131</v>
      </c>
      <c r="C163" s="3" t="s">
        <v>2132</v>
      </c>
      <c r="D163" s="3" t="s">
        <v>2146</v>
      </c>
      <c r="E163" s="6">
        <v>44260.335787037038</v>
      </c>
      <c r="F163" s="3" t="s">
        <v>183</v>
      </c>
      <c r="G163" s="6">
        <v>44260.335787037038</v>
      </c>
      <c r="H163" s="3" t="s">
        <v>183</v>
      </c>
      <c r="I163" s="3" t="s">
        <v>170</v>
      </c>
      <c r="J163" s="3" t="s">
        <v>2090</v>
      </c>
    </row>
    <row r="164" spans="1:10" x14ac:dyDescent="0.2">
      <c r="A164" s="9">
        <v>184</v>
      </c>
      <c r="B164" s="3" t="s">
        <v>2133</v>
      </c>
      <c r="C164" s="3" t="s">
        <v>2134</v>
      </c>
      <c r="D164" s="3" t="s">
        <v>2093</v>
      </c>
      <c r="E164" s="6">
        <v>44260.335243055553</v>
      </c>
      <c r="F164" s="3" t="s">
        <v>183</v>
      </c>
      <c r="G164" s="6">
        <v>44260.335243055553</v>
      </c>
      <c r="H164" s="3" t="s">
        <v>183</v>
      </c>
      <c r="I164" s="3" t="s">
        <v>170</v>
      </c>
      <c r="J164" s="3" t="s">
        <v>2090</v>
      </c>
    </row>
    <row r="165" spans="1:10" x14ac:dyDescent="0.2">
      <c r="A165" s="9">
        <v>183</v>
      </c>
      <c r="B165" s="3" t="s">
        <v>33</v>
      </c>
      <c r="C165" s="3" t="s">
        <v>2139</v>
      </c>
      <c r="D165" s="3" t="s">
        <v>2103</v>
      </c>
      <c r="E165" s="6">
        <v>44260.334930555553</v>
      </c>
      <c r="F165" s="3" t="s">
        <v>183</v>
      </c>
      <c r="G165" s="6">
        <v>44260.334930555553</v>
      </c>
      <c r="H165" s="3" t="s">
        <v>183</v>
      </c>
      <c r="I165" s="3" t="s">
        <v>170</v>
      </c>
      <c r="J165" s="3" t="s">
        <v>2090</v>
      </c>
    </row>
    <row r="166" spans="1:10" x14ac:dyDescent="0.2">
      <c r="A166" s="9">
        <v>182</v>
      </c>
      <c r="B166" s="3" t="s">
        <v>34</v>
      </c>
      <c r="C166" s="3" t="s">
        <v>2140</v>
      </c>
      <c r="D166" s="3" t="s">
        <v>2093</v>
      </c>
      <c r="E166" s="6">
        <v>44260.334513888891</v>
      </c>
      <c r="F166" s="3" t="s">
        <v>183</v>
      </c>
      <c r="G166" s="6">
        <v>44260.334513888891</v>
      </c>
      <c r="H166" s="3" t="s">
        <v>183</v>
      </c>
      <c r="I166" s="3" t="s">
        <v>170</v>
      </c>
      <c r="J166" s="3" t="s">
        <v>2090</v>
      </c>
    </row>
    <row r="167" spans="1:10" x14ac:dyDescent="0.2">
      <c r="A167" s="9">
        <v>181</v>
      </c>
      <c r="B167" s="3" t="s">
        <v>2144</v>
      </c>
      <c r="C167" s="3" t="s">
        <v>2145</v>
      </c>
      <c r="D167" s="3" t="s">
        <v>2275</v>
      </c>
      <c r="E167" s="6">
        <v>44260.334039351852</v>
      </c>
      <c r="F167" s="3" t="s">
        <v>183</v>
      </c>
      <c r="G167" s="6">
        <v>44260.334039351852</v>
      </c>
      <c r="H167" s="3" t="s">
        <v>183</v>
      </c>
      <c r="I167" s="3" t="s">
        <v>170</v>
      </c>
      <c r="J167" s="3" t="s">
        <v>2090</v>
      </c>
    </row>
    <row r="168" spans="1:10" x14ac:dyDescent="0.2">
      <c r="A168" s="9">
        <v>180</v>
      </c>
      <c r="B168" s="3" t="s">
        <v>2147</v>
      </c>
      <c r="C168" s="3" t="s">
        <v>2148</v>
      </c>
      <c r="D168" s="3" t="s">
        <v>2277</v>
      </c>
      <c r="E168" s="6">
        <v>44260.333796296298</v>
      </c>
      <c r="F168" s="3" t="s">
        <v>183</v>
      </c>
      <c r="G168" s="6">
        <v>44260.333796296298</v>
      </c>
      <c r="H168" s="3" t="s">
        <v>183</v>
      </c>
      <c r="I168" s="3" t="s">
        <v>170</v>
      </c>
      <c r="J168" s="3" t="s">
        <v>2090</v>
      </c>
    </row>
    <row r="169" spans="1:10" x14ac:dyDescent="0.2">
      <c r="A169" s="9">
        <v>179</v>
      </c>
      <c r="B169" s="3" t="s">
        <v>2149</v>
      </c>
      <c r="C169" s="3" t="s">
        <v>2150</v>
      </c>
      <c r="D169" s="3" t="s">
        <v>2093</v>
      </c>
      <c r="E169" s="6">
        <v>44260.33357638889</v>
      </c>
      <c r="F169" s="3" t="s">
        <v>183</v>
      </c>
      <c r="G169" s="6">
        <v>44260.33357638889</v>
      </c>
      <c r="H169" s="3" t="s">
        <v>183</v>
      </c>
      <c r="I169" s="3" t="s">
        <v>170</v>
      </c>
      <c r="J169" s="3" t="s">
        <v>2090</v>
      </c>
    </row>
    <row r="170" spans="1:10" x14ac:dyDescent="0.2">
      <c r="A170" s="9">
        <v>178</v>
      </c>
      <c r="B170" s="3" t="s">
        <v>2153</v>
      </c>
      <c r="C170" s="3" t="s">
        <v>2154</v>
      </c>
      <c r="D170" s="3" t="s">
        <v>2093</v>
      </c>
      <c r="E170" s="6">
        <v>44260.33326388889</v>
      </c>
      <c r="F170" s="3" t="s">
        <v>183</v>
      </c>
      <c r="G170" s="6">
        <v>44260.33326388889</v>
      </c>
      <c r="H170" s="3" t="s">
        <v>183</v>
      </c>
      <c r="I170" s="3" t="s">
        <v>170</v>
      </c>
      <c r="J170" s="3" t="s">
        <v>2090</v>
      </c>
    </row>
    <row r="171" spans="1:10" x14ac:dyDescent="0.2">
      <c r="A171" s="9">
        <v>177</v>
      </c>
      <c r="B171" s="3" t="s">
        <v>35</v>
      </c>
      <c r="C171" s="3" t="s">
        <v>2141</v>
      </c>
      <c r="D171" s="3" t="s">
        <v>2277</v>
      </c>
      <c r="E171" s="6">
        <v>44260.332777777781</v>
      </c>
      <c r="F171" s="3" t="s">
        <v>183</v>
      </c>
      <c r="G171" s="6">
        <v>44260.332777777781</v>
      </c>
      <c r="H171" s="3" t="s">
        <v>183</v>
      </c>
      <c r="I171" s="3" t="s">
        <v>170</v>
      </c>
      <c r="J171" s="3" t="s">
        <v>2090</v>
      </c>
    </row>
    <row r="172" spans="1:10" x14ac:dyDescent="0.2">
      <c r="A172" s="9">
        <v>176</v>
      </c>
      <c r="B172" s="3" t="s">
        <v>2142</v>
      </c>
      <c r="C172" s="3" t="s">
        <v>2143</v>
      </c>
      <c r="D172" s="3" t="s">
        <v>2277</v>
      </c>
      <c r="E172" s="6">
        <v>44260.332418981481</v>
      </c>
      <c r="F172" s="3" t="s">
        <v>183</v>
      </c>
      <c r="G172" s="6">
        <v>44260.332418981481</v>
      </c>
      <c r="H172" s="3" t="s">
        <v>183</v>
      </c>
      <c r="I172" s="3" t="s">
        <v>170</v>
      </c>
      <c r="J172" s="3" t="s">
        <v>2090</v>
      </c>
    </row>
    <row r="173" spans="1:10" x14ac:dyDescent="0.2">
      <c r="A173" s="9">
        <v>175</v>
      </c>
      <c r="B173" s="3" t="s">
        <v>2151</v>
      </c>
      <c r="C173" s="3" t="s">
        <v>2152</v>
      </c>
      <c r="D173" s="3" t="s">
        <v>2103</v>
      </c>
      <c r="E173" s="6">
        <v>44260.332152777781</v>
      </c>
      <c r="F173" s="3" t="s">
        <v>183</v>
      </c>
      <c r="G173" s="6">
        <v>44260.332152777781</v>
      </c>
      <c r="H173" s="3" t="s">
        <v>183</v>
      </c>
      <c r="I173" s="3" t="s">
        <v>170</v>
      </c>
      <c r="J173" s="3" t="s">
        <v>2090</v>
      </c>
    </row>
    <row r="174" spans="1:10" x14ac:dyDescent="0.2">
      <c r="A174" s="9">
        <v>174</v>
      </c>
      <c r="B174" s="3" t="s">
        <v>2227</v>
      </c>
      <c r="C174" s="3" t="s">
        <v>2228</v>
      </c>
      <c r="D174" s="3" t="s">
        <v>2089</v>
      </c>
      <c r="E174" s="6">
        <v>44260.331817129627</v>
      </c>
      <c r="F174" s="3" t="s">
        <v>183</v>
      </c>
      <c r="G174" s="6">
        <v>44260.331817129627</v>
      </c>
      <c r="H174" s="3" t="s">
        <v>183</v>
      </c>
      <c r="I174" s="3" t="s">
        <v>170</v>
      </c>
      <c r="J174" s="3" t="s">
        <v>2090</v>
      </c>
    </row>
    <row r="175" spans="1:10" x14ac:dyDescent="0.2">
      <c r="A175" s="9">
        <v>173</v>
      </c>
      <c r="B175" s="3" t="s">
        <v>2155</v>
      </c>
      <c r="C175" s="3" t="s">
        <v>2156</v>
      </c>
      <c r="D175" s="3" t="s">
        <v>2093</v>
      </c>
      <c r="E175" s="6">
        <v>44260.33153935185</v>
      </c>
      <c r="F175" s="3" t="s">
        <v>183</v>
      </c>
      <c r="G175" s="6">
        <v>44260.33153935185</v>
      </c>
      <c r="H175" s="3" t="s">
        <v>183</v>
      </c>
      <c r="I175" s="3" t="s">
        <v>170</v>
      </c>
      <c r="J175" s="3" t="s">
        <v>2090</v>
      </c>
    </row>
    <row r="176" spans="1:10" x14ac:dyDescent="0.2">
      <c r="A176" s="9">
        <v>172</v>
      </c>
      <c r="B176" s="3" t="s">
        <v>2238</v>
      </c>
      <c r="C176" s="3" t="s">
        <v>2239</v>
      </c>
      <c r="D176" s="3" t="s">
        <v>2096</v>
      </c>
      <c r="E176" s="6">
        <v>44260.331192129626</v>
      </c>
      <c r="F176" s="3" t="s">
        <v>183</v>
      </c>
      <c r="G176" s="6">
        <v>44260.331192129626</v>
      </c>
      <c r="H176" s="3" t="s">
        <v>183</v>
      </c>
      <c r="I176" s="3" t="s">
        <v>170</v>
      </c>
      <c r="J176" s="3" t="s">
        <v>2090</v>
      </c>
    </row>
    <row r="177" spans="1:10" x14ac:dyDescent="0.2">
      <c r="A177" s="9">
        <v>171</v>
      </c>
      <c r="B177" s="3" t="s">
        <v>2157</v>
      </c>
      <c r="C177" s="3" t="s">
        <v>36</v>
      </c>
      <c r="D177" s="3" t="s">
        <v>2093</v>
      </c>
      <c r="E177" s="6">
        <v>44260.330289351848</v>
      </c>
      <c r="F177" s="3" t="s">
        <v>183</v>
      </c>
      <c r="G177" s="6">
        <v>44260.330289351848</v>
      </c>
      <c r="H177" s="3" t="s">
        <v>183</v>
      </c>
      <c r="I177" s="3" t="s">
        <v>170</v>
      </c>
      <c r="J177" s="3" t="s">
        <v>2090</v>
      </c>
    </row>
    <row r="178" spans="1:10" x14ac:dyDescent="0.2">
      <c r="A178" s="9">
        <v>170</v>
      </c>
      <c r="B178" s="3" t="s">
        <v>2194</v>
      </c>
      <c r="C178" s="3" t="s">
        <v>2195</v>
      </c>
      <c r="D178" s="3" t="s">
        <v>2275</v>
      </c>
      <c r="E178" s="6">
        <v>44260.327210648145</v>
      </c>
      <c r="F178" s="3" t="s">
        <v>183</v>
      </c>
      <c r="G178" s="6">
        <v>44260.327210648145</v>
      </c>
      <c r="H178" s="3" t="s">
        <v>183</v>
      </c>
      <c r="I178" s="3" t="s">
        <v>170</v>
      </c>
      <c r="J178" s="3" t="s">
        <v>2090</v>
      </c>
    </row>
    <row r="179" spans="1:10" x14ac:dyDescent="0.2">
      <c r="A179" s="9">
        <v>169</v>
      </c>
      <c r="B179" s="3" t="s">
        <v>2158</v>
      </c>
      <c r="C179" s="3" t="s">
        <v>2159</v>
      </c>
      <c r="D179" s="3" t="s">
        <v>2093</v>
      </c>
      <c r="E179" s="6">
        <v>44260.326145833336</v>
      </c>
      <c r="F179" s="3" t="s">
        <v>183</v>
      </c>
      <c r="G179" s="6">
        <v>44260.326145833336</v>
      </c>
      <c r="H179" s="3" t="s">
        <v>183</v>
      </c>
      <c r="I179" s="3" t="s">
        <v>170</v>
      </c>
      <c r="J179" s="3" t="s">
        <v>2090</v>
      </c>
    </row>
    <row r="180" spans="1:10" x14ac:dyDescent="0.2">
      <c r="A180" s="9">
        <v>168</v>
      </c>
      <c r="B180" s="3" t="s">
        <v>2160</v>
      </c>
      <c r="C180" s="3" t="s">
        <v>2161</v>
      </c>
      <c r="D180" s="3" t="s">
        <v>2093</v>
      </c>
      <c r="E180" s="6">
        <v>44260.325567129628</v>
      </c>
      <c r="F180" s="3" t="s">
        <v>183</v>
      </c>
      <c r="G180" s="6">
        <v>44260.325567129628</v>
      </c>
      <c r="H180" s="3" t="s">
        <v>183</v>
      </c>
      <c r="I180" s="3" t="s">
        <v>170</v>
      </c>
      <c r="J180" s="3" t="s">
        <v>2090</v>
      </c>
    </row>
    <row r="181" spans="1:10" x14ac:dyDescent="0.2">
      <c r="A181" s="9">
        <v>167</v>
      </c>
      <c r="B181" s="3" t="s">
        <v>2248</v>
      </c>
      <c r="C181" s="3" t="s">
        <v>2249</v>
      </c>
      <c r="D181" s="3" t="s">
        <v>2089</v>
      </c>
      <c r="E181" s="6">
        <v>44260.319988425923</v>
      </c>
      <c r="F181" s="3" t="s">
        <v>183</v>
      </c>
      <c r="G181" s="6">
        <v>44260.319988425923</v>
      </c>
      <c r="H181" s="3" t="s">
        <v>183</v>
      </c>
      <c r="I181" s="3" t="s">
        <v>170</v>
      </c>
      <c r="J181" s="3" t="s">
        <v>2090</v>
      </c>
    </row>
    <row r="182" spans="1:10" x14ac:dyDescent="0.2">
      <c r="A182" s="9">
        <v>166</v>
      </c>
      <c r="B182" s="3" t="s">
        <v>2188</v>
      </c>
      <c r="C182" s="3" t="s">
        <v>2189</v>
      </c>
      <c r="D182" s="3" t="s">
        <v>2096</v>
      </c>
      <c r="E182" s="6">
        <v>44260.319386574076</v>
      </c>
      <c r="F182" s="3" t="s">
        <v>183</v>
      </c>
      <c r="G182" s="6">
        <v>44260.319386574076</v>
      </c>
      <c r="H182" s="3" t="s">
        <v>183</v>
      </c>
      <c r="I182" s="3" t="s">
        <v>170</v>
      </c>
      <c r="J182" s="3" t="s">
        <v>2090</v>
      </c>
    </row>
    <row r="183" spans="1:10" x14ac:dyDescent="0.2">
      <c r="A183" s="9">
        <v>165</v>
      </c>
      <c r="B183" s="3" t="s">
        <v>40</v>
      </c>
      <c r="C183" s="3" t="s">
        <v>2244</v>
      </c>
      <c r="D183" s="3" t="s">
        <v>2093</v>
      </c>
      <c r="E183" s="6">
        <v>44260.318958333337</v>
      </c>
      <c r="F183" s="3" t="s">
        <v>183</v>
      </c>
      <c r="G183" s="6">
        <v>44260.318958333337</v>
      </c>
      <c r="H183" s="3" t="s">
        <v>183</v>
      </c>
      <c r="I183" s="3" t="s">
        <v>170</v>
      </c>
      <c r="J183" s="3" t="s">
        <v>2090</v>
      </c>
    </row>
    <row r="184" spans="1:10" x14ac:dyDescent="0.2">
      <c r="A184" s="9">
        <v>164</v>
      </c>
      <c r="B184" s="3" t="s">
        <v>37</v>
      </c>
      <c r="C184" s="3" t="s">
        <v>2204</v>
      </c>
      <c r="D184" s="3" t="s">
        <v>2093</v>
      </c>
      <c r="E184" s="6">
        <v>44260.31658564815</v>
      </c>
      <c r="F184" s="3" t="s">
        <v>183</v>
      </c>
      <c r="G184" s="6">
        <v>44260.31658564815</v>
      </c>
      <c r="H184" s="3" t="s">
        <v>183</v>
      </c>
      <c r="I184" s="3" t="s">
        <v>170</v>
      </c>
      <c r="J184" s="3" t="s">
        <v>2090</v>
      </c>
    </row>
    <row r="185" spans="1:10" x14ac:dyDescent="0.2">
      <c r="A185" s="9">
        <v>163</v>
      </c>
      <c r="B185" s="3" t="s">
        <v>2162</v>
      </c>
      <c r="C185" s="3" t="s">
        <v>2163</v>
      </c>
      <c r="D185" s="3" t="s">
        <v>2280</v>
      </c>
      <c r="E185" s="6">
        <v>44260.315717592595</v>
      </c>
      <c r="F185" s="3" t="s">
        <v>183</v>
      </c>
      <c r="G185" s="6">
        <v>44260.315717592595</v>
      </c>
      <c r="H185" s="3" t="s">
        <v>183</v>
      </c>
      <c r="I185" s="3" t="s">
        <v>170</v>
      </c>
      <c r="J185" s="3" t="s">
        <v>2090</v>
      </c>
    </row>
    <row r="186" spans="1:10" x14ac:dyDescent="0.2">
      <c r="A186" s="9">
        <v>162</v>
      </c>
      <c r="B186" s="3" t="s">
        <v>2162</v>
      </c>
      <c r="C186" s="3" t="s">
        <v>2163</v>
      </c>
      <c r="D186" s="3" t="s">
        <v>2093</v>
      </c>
      <c r="E186" s="6">
        <v>44260.314351851855</v>
      </c>
      <c r="F186" s="3" t="s">
        <v>183</v>
      </c>
      <c r="G186" s="6">
        <v>44260.314351851855</v>
      </c>
      <c r="H186" s="3" t="s">
        <v>183</v>
      </c>
      <c r="I186" s="3" t="s">
        <v>170</v>
      </c>
      <c r="J186" s="3" t="s">
        <v>2090</v>
      </c>
    </row>
    <row r="187" spans="1:10" x14ac:dyDescent="0.2">
      <c r="A187" s="9">
        <v>161</v>
      </c>
      <c r="B187" s="3" t="s">
        <v>2162</v>
      </c>
      <c r="C187" s="3" t="s">
        <v>2163</v>
      </c>
      <c r="D187" s="3" t="s">
        <v>2093</v>
      </c>
      <c r="E187" s="6">
        <v>44260.313877314817</v>
      </c>
      <c r="F187" s="3" t="s">
        <v>183</v>
      </c>
      <c r="G187" s="6">
        <v>44260.313877314817</v>
      </c>
      <c r="H187" s="3" t="s">
        <v>183</v>
      </c>
      <c r="I187" s="3" t="s">
        <v>170</v>
      </c>
      <c r="J187" s="3" t="s">
        <v>2090</v>
      </c>
    </row>
    <row r="188" spans="1:10" x14ac:dyDescent="0.2">
      <c r="A188" s="9">
        <v>160</v>
      </c>
      <c r="B188" s="3" t="s">
        <v>2162</v>
      </c>
      <c r="C188" s="3" t="s">
        <v>2163</v>
      </c>
      <c r="D188" s="3" t="s">
        <v>2275</v>
      </c>
      <c r="E188" s="6">
        <v>44260.310254629629</v>
      </c>
      <c r="F188" s="3" t="s">
        <v>183</v>
      </c>
      <c r="G188" s="6">
        <v>44260.310254629629</v>
      </c>
      <c r="H188" s="3" t="s">
        <v>183</v>
      </c>
      <c r="I188" s="3" t="s">
        <v>170</v>
      </c>
      <c r="J188" s="3" t="s">
        <v>2090</v>
      </c>
    </row>
    <row r="189" spans="1:10" x14ac:dyDescent="0.2">
      <c r="A189" s="9">
        <v>159</v>
      </c>
      <c r="B189" s="3" t="s">
        <v>2237</v>
      </c>
      <c r="C189" s="3" t="s">
        <v>39</v>
      </c>
      <c r="D189" s="3" t="s">
        <v>2275</v>
      </c>
      <c r="E189" s="6">
        <v>44260.307743055557</v>
      </c>
      <c r="F189" s="3" t="s">
        <v>183</v>
      </c>
      <c r="G189" s="6">
        <v>44260.307743055557</v>
      </c>
      <c r="H189" s="3" t="s">
        <v>183</v>
      </c>
      <c r="I189" s="3" t="s">
        <v>170</v>
      </c>
      <c r="J189" s="3" t="s">
        <v>2090</v>
      </c>
    </row>
    <row r="190" spans="1:10" x14ac:dyDescent="0.2">
      <c r="A190" s="9">
        <v>158</v>
      </c>
      <c r="B190" s="3" t="s">
        <v>2274</v>
      </c>
      <c r="C190" s="3" t="s">
        <v>44</v>
      </c>
      <c r="D190" s="3" t="s">
        <v>2275</v>
      </c>
      <c r="E190" s="6">
        <v>44260.303981481484</v>
      </c>
      <c r="F190" s="3" t="s">
        <v>183</v>
      </c>
      <c r="G190" s="6">
        <v>44260.303981481484</v>
      </c>
      <c r="H190" s="3" t="s">
        <v>183</v>
      </c>
      <c r="I190" s="3" t="s">
        <v>170</v>
      </c>
      <c r="J190" s="3" t="s">
        <v>2090</v>
      </c>
    </row>
    <row r="191" spans="1:10" x14ac:dyDescent="0.2">
      <c r="A191" s="9">
        <v>157</v>
      </c>
      <c r="B191" s="3" t="s">
        <v>2162</v>
      </c>
      <c r="C191" s="3" t="s">
        <v>2163</v>
      </c>
      <c r="D191" s="3" t="s">
        <v>2146</v>
      </c>
      <c r="E191" s="6">
        <v>44260.303437499999</v>
      </c>
      <c r="F191" s="3" t="s">
        <v>183</v>
      </c>
      <c r="G191" s="6">
        <v>44260.303437499999</v>
      </c>
      <c r="H191" s="3" t="s">
        <v>183</v>
      </c>
      <c r="I191" s="3" t="s">
        <v>170</v>
      </c>
      <c r="J191" s="3" t="s">
        <v>2090</v>
      </c>
    </row>
    <row r="192" spans="1:10" x14ac:dyDescent="0.2">
      <c r="A192" s="9">
        <v>156</v>
      </c>
      <c r="B192" s="3" t="s">
        <v>2162</v>
      </c>
      <c r="C192" s="3" t="s">
        <v>2163</v>
      </c>
      <c r="D192" s="3" t="s">
        <v>2275</v>
      </c>
      <c r="E192" s="6">
        <v>44260.302997685183</v>
      </c>
      <c r="F192" s="3" t="s">
        <v>183</v>
      </c>
      <c r="G192" s="6">
        <v>44260.302997685183</v>
      </c>
      <c r="H192" s="3" t="s">
        <v>183</v>
      </c>
      <c r="I192" s="3" t="s">
        <v>170</v>
      </c>
      <c r="J192" s="3" t="s">
        <v>2090</v>
      </c>
    </row>
    <row r="193" spans="1:10" x14ac:dyDescent="0.2">
      <c r="A193" s="9">
        <v>155</v>
      </c>
      <c r="B193" s="3" t="s">
        <v>2162</v>
      </c>
      <c r="C193" s="3" t="s">
        <v>2163</v>
      </c>
      <c r="D193" s="3" t="s">
        <v>2146</v>
      </c>
      <c r="E193" s="6">
        <v>44260.302245370367</v>
      </c>
      <c r="F193" s="3" t="s">
        <v>183</v>
      </c>
      <c r="G193" s="6">
        <v>44260.302245370367</v>
      </c>
      <c r="H193" s="3" t="s">
        <v>183</v>
      </c>
      <c r="I193" s="3" t="s">
        <v>170</v>
      </c>
      <c r="J193" s="3" t="s">
        <v>2090</v>
      </c>
    </row>
    <row r="194" spans="1:10" x14ac:dyDescent="0.2">
      <c r="A194" s="9">
        <v>154</v>
      </c>
      <c r="B194" s="3" t="s">
        <v>2162</v>
      </c>
      <c r="C194" s="3" t="s">
        <v>2163</v>
      </c>
      <c r="D194" s="3" t="s">
        <v>2283</v>
      </c>
      <c r="E194" s="6">
        <v>44260.301053240742</v>
      </c>
      <c r="F194" s="3" t="s">
        <v>183</v>
      </c>
      <c r="G194" s="6">
        <v>44260.301053240742</v>
      </c>
      <c r="H194" s="3" t="s">
        <v>183</v>
      </c>
      <c r="I194" s="3" t="s">
        <v>170</v>
      </c>
      <c r="J194" s="3" t="s">
        <v>2090</v>
      </c>
    </row>
    <row r="195" spans="1:10" x14ac:dyDescent="0.2">
      <c r="A195" s="9">
        <v>153</v>
      </c>
      <c r="B195" s="3" t="s">
        <v>2162</v>
      </c>
      <c r="C195" s="3" t="s">
        <v>2163</v>
      </c>
      <c r="D195" s="3" t="s">
        <v>2284</v>
      </c>
      <c r="E195" s="6">
        <v>44260.300636574073</v>
      </c>
      <c r="F195" s="3" t="s">
        <v>183</v>
      </c>
      <c r="G195" s="6">
        <v>44260.300636574073</v>
      </c>
      <c r="H195" s="3" t="s">
        <v>183</v>
      </c>
      <c r="I195" s="3" t="s">
        <v>170</v>
      </c>
      <c r="J195" s="3" t="s">
        <v>2090</v>
      </c>
    </row>
    <row r="196" spans="1:10" x14ac:dyDescent="0.2">
      <c r="A196" s="9">
        <v>152</v>
      </c>
      <c r="B196" s="3" t="s">
        <v>2162</v>
      </c>
      <c r="C196" s="3" t="s">
        <v>2163</v>
      </c>
      <c r="D196" s="3" t="s">
        <v>2284</v>
      </c>
      <c r="E196" s="6">
        <v>44260.299456018518</v>
      </c>
      <c r="F196" s="3" t="s">
        <v>183</v>
      </c>
      <c r="G196" s="6">
        <v>44260.299456018518</v>
      </c>
      <c r="H196" s="3" t="s">
        <v>183</v>
      </c>
      <c r="I196" s="3" t="s">
        <v>170</v>
      </c>
      <c r="J196" s="3" t="s">
        <v>2090</v>
      </c>
    </row>
    <row r="197" spans="1:10" x14ac:dyDescent="0.2">
      <c r="A197" s="9">
        <v>151</v>
      </c>
      <c r="B197" s="3" t="s">
        <v>40</v>
      </c>
      <c r="C197" s="3" t="s">
        <v>2244</v>
      </c>
      <c r="D197" s="3" t="s">
        <v>2285</v>
      </c>
      <c r="E197" s="6">
        <v>44253.25608796296</v>
      </c>
      <c r="F197" s="3" t="s">
        <v>168</v>
      </c>
      <c r="G197" s="6">
        <v>44253.25608796296</v>
      </c>
      <c r="H197" s="3" t="s">
        <v>168</v>
      </c>
      <c r="I197" s="3" t="s">
        <v>170</v>
      </c>
      <c r="J197" s="3" t="s">
        <v>2090</v>
      </c>
    </row>
    <row r="198" spans="1:10" x14ac:dyDescent="0.2">
      <c r="A198" s="9">
        <v>150</v>
      </c>
      <c r="B198" s="3" t="s">
        <v>2286</v>
      </c>
      <c r="C198" s="3" t="s">
        <v>2287</v>
      </c>
      <c r="D198" s="3" t="s">
        <v>2177</v>
      </c>
      <c r="E198" s="6">
        <v>44252.25503472222</v>
      </c>
      <c r="F198" s="3" t="s">
        <v>168</v>
      </c>
      <c r="G198" s="6">
        <v>44252.25503472222</v>
      </c>
      <c r="H198" s="3" t="s">
        <v>168</v>
      </c>
      <c r="I198" s="3" t="s">
        <v>170</v>
      </c>
      <c r="J198" s="3" t="s">
        <v>2090</v>
      </c>
    </row>
    <row r="199" spans="1:10" x14ac:dyDescent="0.2">
      <c r="A199" s="9">
        <v>149</v>
      </c>
      <c r="B199" s="3" t="s">
        <v>2251</v>
      </c>
      <c r="C199" s="3" t="s">
        <v>2252</v>
      </c>
      <c r="D199" s="3" t="s">
        <v>2177</v>
      </c>
      <c r="E199" s="6">
        <v>44252.254872685182</v>
      </c>
      <c r="F199" s="3" t="s">
        <v>168</v>
      </c>
      <c r="G199" s="6">
        <v>44252.254872685182</v>
      </c>
      <c r="H199" s="3" t="s">
        <v>168</v>
      </c>
      <c r="I199" s="3" t="s">
        <v>170</v>
      </c>
      <c r="J199" s="3" t="s">
        <v>2090</v>
      </c>
    </row>
    <row r="200" spans="1:10" x14ac:dyDescent="0.2">
      <c r="A200" s="9">
        <v>148</v>
      </c>
      <c r="B200" s="3" t="s">
        <v>2155</v>
      </c>
      <c r="C200" s="3" t="s">
        <v>2156</v>
      </c>
      <c r="D200" s="3" t="s">
        <v>2211</v>
      </c>
      <c r="E200" s="6">
        <v>44138.206770833334</v>
      </c>
      <c r="F200" s="3" t="s">
        <v>2288</v>
      </c>
      <c r="G200" s="6">
        <v>44138.206770833334</v>
      </c>
      <c r="H200" s="3" t="s">
        <v>2288</v>
      </c>
      <c r="I200" s="3" t="s">
        <v>170</v>
      </c>
      <c r="J200" s="3" t="s">
        <v>2090</v>
      </c>
    </row>
    <row r="201" spans="1:10" x14ac:dyDescent="0.2">
      <c r="A201" s="9">
        <v>147</v>
      </c>
      <c r="B201" s="3" t="s">
        <v>2207</v>
      </c>
      <c r="C201" s="3" t="s">
        <v>2208</v>
      </c>
      <c r="D201" s="3" t="s">
        <v>2289</v>
      </c>
      <c r="E201" s="6">
        <v>44138.203622685185</v>
      </c>
      <c r="F201" s="3" t="s">
        <v>2288</v>
      </c>
      <c r="G201" s="6">
        <v>44138.203622685185</v>
      </c>
      <c r="H201" s="3" t="s">
        <v>2288</v>
      </c>
      <c r="I201" s="3" t="s">
        <v>170</v>
      </c>
      <c r="J201" s="3" t="s">
        <v>2090</v>
      </c>
    </row>
    <row r="202" spans="1:10" x14ac:dyDescent="0.2">
      <c r="A202" s="9">
        <v>146</v>
      </c>
      <c r="B202" s="3" t="s">
        <v>42</v>
      </c>
      <c r="C202" s="3" t="s">
        <v>2250</v>
      </c>
      <c r="D202" s="3" t="s">
        <v>2289</v>
      </c>
      <c r="E202" s="6">
        <v>44138.202141203707</v>
      </c>
      <c r="F202" s="3" t="s">
        <v>2288</v>
      </c>
      <c r="G202" s="6">
        <v>44138.202141203707</v>
      </c>
      <c r="H202" s="3" t="s">
        <v>2288</v>
      </c>
      <c r="I202" s="3" t="s">
        <v>170</v>
      </c>
      <c r="J202" s="3" t="s">
        <v>2090</v>
      </c>
    </row>
    <row r="203" spans="1:10" x14ac:dyDescent="0.2">
      <c r="A203" s="9">
        <v>145</v>
      </c>
      <c r="B203" s="3" t="s">
        <v>2218</v>
      </c>
      <c r="C203" s="3" t="s">
        <v>2219</v>
      </c>
      <c r="D203" s="3" t="s">
        <v>2096</v>
      </c>
      <c r="E203" s="6">
        <v>44137.176701388889</v>
      </c>
      <c r="F203" s="3" t="s">
        <v>2288</v>
      </c>
      <c r="G203" s="6">
        <v>44137.176701388889</v>
      </c>
      <c r="H203" s="3" t="s">
        <v>2288</v>
      </c>
      <c r="I203" s="3" t="s">
        <v>170</v>
      </c>
      <c r="J203" s="3" t="s">
        <v>2090</v>
      </c>
    </row>
    <row r="204" spans="1:10" x14ac:dyDescent="0.2">
      <c r="A204" s="9">
        <v>144</v>
      </c>
      <c r="B204" s="3" t="s">
        <v>2099</v>
      </c>
      <c r="C204" s="3" t="s">
        <v>2100</v>
      </c>
      <c r="D204" s="3" t="s">
        <v>2211</v>
      </c>
      <c r="E204" s="6">
        <v>44132.796354166669</v>
      </c>
      <c r="F204" s="3" t="s">
        <v>2288</v>
      </c>
      <c r="G204" s="6">
        <v>44132.796354166669</v>
      </c>
      <c r="H204" s="3" t="s">
        <v>2288</v>
      </c>
      <c r="I204" s="3" t="s">
        <v>170</v>
      </c>
      <c r="J204" s="3" t="s">
        <v>2090</v>
      </c>
    </row>
    <row r="205" spans="1:10" x14ac:dyDescent="0.2">
      <c r="A205" s="9">
        <v>143</v>
      </c>
      <c r="B205" s="3" t="s">
        <v>2253</v>
      </c>
      <c r="C205" s="3" t="s">
        <v>2254</v>
      </c>
      <c r="D205" s="3" t="s">
        <v>2103</v>
      </c>
      <c r="E205" s="6">
        <v>44132.791712962964</v>
      </c>
      <c r="F205" s="3" t="s">
        <v>2288</v>
      </c>
      <c r="G205" s="6">
        <v>44132.791712962964</v>
      </c>
      <c r="H205" s="3" t="s">
        <v>2288</v>
      </c>
      <c r="I205" s="3" t="s">
        <v>170</v>
      </c>
      <c r="J205" s="3" t="s">
        <v>2090</v>
      </c>
    </row>
    <row r="206" spans="1:10" x14ac:dyDescent="0.2">
      <c r="A206" s="9">
        <v>142</v>
      </c>
      <c r="B206" s="3" t="s">
        <v>2202</v>
      </c>
      <c r="C206" s="3" t="s">
        <v>2203</v>
      </c>
      <c r="D206" s="3" t="s">
        <v>2103</v>
      </c>
      <c r="E206" s="6">
        <v>44132.79010416667</v>
      </c>
      <c r="F206" s="3" t="s">
        <v>2288</v>
      </c>
      <c r="G206" s="6">
        <v>44132.79010416667</v>
      </c>
      <c r="H206" s="3" t="s">
        <v>2288</v>
      </c>
      <c r="I206" s="3" t="s">
        <v>170</v>
      </c>
      <c r="J206" s="3" t="s">
        <v>2090</v>
      </c>
    </row>
    <row r="207" spans="1:10" x14ac:dyDescent="0.2">
      <c r="A207" s="9">
        <v>141</v>
      </c>
      <c r="B207" s="3" t="s">
        <v>2212</v>
      </c>
      <c r="C207" s="3" t="s">
        <v>2213</v>
      </c>
      <c r="D207" s="3" t="s">
        <v>2103</v>
      </c>
      <c r="E207" s="6">
        <v>44132.789004629631</v>
      </c>
      <c r="F207" s="3" t="s">
        <v>2288</v>
      </c>
      <c r="G207" s="6">
        <v>44132.789004629631</v>
      </c>
      <c r="H207" s="3" t="s">
        <v>2288</v>
      </c>
      <c r="I207" s="3" t="s">
        <v>170</v>
      </c>
      <c r="J207" s="3" t="s">
        <v>2090</v>
      </c>
    </row>
    <row r="208" spans="1:10" x14ac:dyDescent="0.2">
      <c r="A208" s="9">
        <v>140</v>
      </c>
      <c r="B208" s="3" t="s">
        <v>2110</v>
      </c>
      <c r="C208" s="3" t="s">
        <v>2111</v>
      </c>
      <c r="D208" s="3" t="s">
        <v>2103</v>
      </c>
      <c r="E208" s="6">
        <v>44132.788622685184</v>
      </c>
      <c r="F208" s="3" t="s">
        <v>2288</v>
      </c>
      <c r="G208" s="6">
        <v>44132.788622685184</v>
      </c>
      <c r="H208" s="3" t="s">
        <v>2288</v>
      </c>
      <c r="I208" s="3" t="s">
        <v>170</v>
      </c>
      <c r="J208" s="3" t="s">
        <v>2090</v>
      </c>
    </row>
    <row r="209" spans="1:10" x14ac:dyDescent="0.2">
      <c r="A209" s="9">
        <v>139</v>
      </c>
      <c r="B209" s="3" t="s">
        <v>2151</v>
      </c>
      <c r="C209" s="3" t="s">
        <v>2152</v>
      </c>
      <c r="D209" s="3" t="s">
        <v>2103</v>
      </c>
      <c r="E209" s="6">
        <v>44132.788414351853</v>
      </c>
      <c r="F209" s="3" t="s">
        <v>2288</v>
      </c>
      <c r="G209" s="6">
        <v>44132.788414351853</v>
      </c>
      <c r="H209" s="3" t="s">
        <v>2288</v>
      </c>
      <c r="I209" s="3" t="s">
        <v>170</v>
      </c>
      <c r="J209" s="3" t="s">
        <v>2090</v>
      </c>
    </row>
    <row r="210" spans="1:10" x14ac:dyDescent="0.2">
      <c r="A210" s="9">
        <v>138</v>
      </c>
      <c r="B210" s="3" t="s">
        <v>2229</v>
      </c>
      <c r="C210" s="3" t="s">
        <v>2230</v>
      </c>
      <c r="D210" s="3" t="s">
        <v>2103</v>
      </c>
      <c r="E210" s="6">
        <v>44132.788171296299</v>
      </c>
      <c r="F210" s="3" t="s">
        <v>2288</v>
      </c>
      <c r="G210" s="6">
        <v>44132.788171296299</v>
      </c>
      <c r="H210" s="3" t="s">
        <v>2288</v>
      </c>
      <c r="I210" s="3" t="s">
        <v>170</v>
      </c>
      <c r="J210" s="3" t="s">
        <v>2090</v>
      </c>
    </row>
    <row r="211" spans="1:10" x14ac:dyDescent="0.2">
      <c r="A211" s="9">
        <v>137</v>
      </c>
      <c r="B211" s="3" t="s">
        <v>2233</v>
      </c>
      <c r="C211" s="3" t="s">
        <v>2234</v>
      </c>
      <c r="D211" s="3" t="s">
        <v>2103</v>
      </c>
      <c r="E211" s="6">
        <v>44132.787905092591</v>
      </c>
      <c r="F211" s="3" t="s">
        <v>2288</v>
      </c>
      <c r="G211" s="6">
        <v>44132.787905092591</v>
      </c>
      <c r="H211" s="3" t="s">
        <v>2288</v>
      </c>
      <c r="I211" s="3" t="s">
        <v>170</v>
      </c>
      <c r="J211" s="3" t="s">
        <v>2090</v>
      </c>
    </row>
    <row r="212" spans="1:10" x14ac:dyDescent="0.2">
      <c r="A212" s="9">
        <v>136</v>
      </c>
      <c r="B212" s="3" t="s">
        <v>2235</v>
      </c>
      <c r="C212" s="3" t="s">
        <v>2236</v>
      </c>
      <c r="D212" s="3" t="s">
        <v>2103</v>
      </c>
      <c r="E212" s="6">
        <v>44132.787581018521</v>
      </c>
      <c r="F212" s="3" t="s">
        <v>2288</v>
      </c>
      <c r="G212" s="6">
        <v>44132.787581018521</v>
      </c>
      <c r="H212" s="3" t="s">
        <v>2288</v>
      </c>
      <c r="I212" s="3" t="s">
        <v>170</v>
      </c>
      <c r="J212" s="3" t="s">
        <v>2090</v>
      </c>
    </row>
    <row r="213" spans="1:10" x14ac:dyDescent="0.2">
      <c r="A213" s="9">
        <v>135</v>
      </c>
      <c r="B213" s="3" t="s">
        <v>2114</v>
      </c>
      <c r="C213" s="3" t="s">
        <v>2115</v>
      </c>
      <c r="D213" s="3" t="s">
        <v>2103</v>
      </c>
      <c r="E213" s="6">
        <v>44132.787372685183</v>
      </c>
      <c r="F213" s="3" t="s">
        <v>2288</v>
      </c>
      <c r="G213" s="6">
        <v>44132.787372685183</v>
      </c>
      <c r="H213" s="3" t="s">
        <v>2288</v>
      </c>
      <c r="I213" s="3" t="s">
        <v>170</v>
      </c>
      <c r="J213" s="3" t="s">
        <v>2090</v>
      </c>
    </row>
    <row r="214" spans="1:10" x14ac:dyDescent="0.2">
      <c r="A214" s="9">
        <v>134</v>
      </c>
      <c r="B214" s="3" t="s">
        <v>2097</v>
      </c>
      <c r="C214" s="3" t="s">
        <v>2098</v>
      </c>
      <c r="D214" s="3" t="s">
        <v>2096</v>
      </c>
      <c r="E214" s="6">
        <v>44132.781631944446</v>
      </c>
      <c r="F214" s="3" t="s">
        <v>2288</v>
      </c>
      <c r="G214" s="6">
        <v>44132.781631944446</v>
      </c>
      <c r="H214" s="3" t="s">
        <v>2288</v>
      </c>
      <c r="I214" s="3" t="s">
        <v>170</v>
      </c>
      <c r="J214" s="3" t="s">
        <v>2090</v>
      </c>
    </row>
    <row r="215" spans="1:10" x14ac:dyDescent="0.2">
      <c r="A215" s="9">
        <v>133</v>
      </c>
      <c r="B215" s="3" t="s">
        <v>2094</v>
      </c>
      <c r="C215" s="3" t="s">
        <v>2095</v>
      </c>
      <c r="D215" s="3" t="s">
        <v>2096</v>
      </c>
      <c r="E215" s="6">
        <v>44132.772800925923</v>
      </c>
      <c r="F215" s="3" t="s">
        <v>2288</v>
      </c>
      <c r="G215" s="6">
        <v>44132.772800925923</v>
      </c>
      <c r="H215" s="3" t="s">
        <v>2288</v>
      </c>
      <c r="I215" s="3" t="s">
        <v>170</v>
      </c>
      <c r="J215" s="3" t="s">
        <v>2090</v>
      </c>
    </row>
    <row r="216" spans="1:10" x14ac:dyDescent="0.2">
      <c r="A216" s="9">
        <v>132</v>
      </c>
      <c r="B216" s="3" t="s">
        <v>2125</v>
      </c>
      <c r="C216" s="3" t="s">
        <v>2126</v>
      </c>
      <c r="D216" s="3" t="s">
        <v>2096</v>
      </c>
      <c r="E216" s="6">
        <v>44132.76462962963</v>
      </c>
      <c r="F216" s="3" t="s">
        <v>2288</v>
      </c>
      <c r="G216" s="6">
        <v>44132.76462962963</v>
      </c>
      <c r="H216" s="3" t="s">
        <v>2288</v>
      </c>
      <c r="I216" s="3" t="s">
        <v>170</v>
      </c>
      <c r="J216" s="3" t="s">
        <v>2090</v>
      </c>
    </row>
    <row r="217" spans="1:10" x14ac:dyDescent="0.2">
      <c r="A217" s="9">
        <v>131</v>
      </c>
      <c r="B217" s="3" t="s">
        <v>2127</v>
      </c>
      <c r="C217" s="3" t="s">
        <v>2128</v>
      </c>
      <c r="D217" s="3" t="s">
        <v>2096</v>
      </c>
      <c r="E217" s="6">
        <v>44132.761886574073</v>
      </c>
      <c r="F217" s="3" t="s">
        <v>2288</v>
      </c>
      <c r="G217" s="6">
        <v>44132.761886574073</v>
      </c>
      <c r="H217" s="3" t="s">
        <v>2288</v>
      </c>
      <c r="I217" s="3" t="s">
        <v>170</v>
      </c>
      <c r="J217" s="3" t="s">
        <v>2090</v>
      </c>
    </row>
    <row r="218" spans="1:10" x14ac:dyDescent="0.2">
      <c r="A218" s="9">
        <v>130</v>
      </c>
      <c r="B218" s="3" t="s">
        <v>2238</v>
      </c>
      <c r="C218" s="3" t="s">
        <v>2239</v>
      </c>
      <c r="D218" s="3" t="s">
        <v>2096</v>
      </c>
      <c r="E218" s="6">
        <v>44132.753807870373</v>
      </c>
      <c r="F218" s="3" t="s">
        <v>2288</v>
      </c>
      <c r="G218" s="6">
        <v>44132.753807870373</v>
      </c>
      <c r="H218" s="3" t="s">
        <v>2288</v>
      </c>
      <c r="I218" s="3" t="s">
        <v>170</v>
      </c>
      <c r="J218" s="3" t="s">
        <v>2090</v>
      </c>
    </row>
    <row r="219" spans="1:10" x14ac:dyDescent="0.2">
      <c r="A219" s="9">
        <v>129</v>
      </c>
      <c r="B219" s="3" t="s">
        <v>2262</v>
      </c>
      <c r="C219" s="3" t="s">
        <v>2263</v>
      </c>
      <c r="D219" s="3" t="s">
        <v>2096</v>
      </c>
      <c r="E219" s="6">
        <v>44132.752233796295</v>
      </c>
      <c r="F219" s="3" t="s">
        <v>2288</v>
      </c>
      <c r="G219" s="6">
        <v>44132.752233796295</v>
      </c>
      <c r="H219" s="3" t="s">
        <v>2288</v>
      </c>
      <c r="I219" s="3" t="s">
        <v>170</v>
      </c>
      <c r="J219" s="3" t="s">
        <v>2090</v>
      </c>
    </row>
    <row r="220" spans="1:10" x14ac:dyDescent="0.2">
      <c r="A220" s="9">
        <v>128</v>
      </c>
      <c r="B220" s="3" t="s">
        <v>2116</v>
      </c>
      <c r="C220" s="3" t="s">
        <v>2117</v>
      </c>
      <c r="D220" s="3" t="s">
        <v>2118</v>
      </c>
      <c r="E220" s="6">
        <v>44132.596342592595</v>
      </c>
      <c r="F220" s="3" t="s">
        <v>2288</v>
      </c>
      <c r="G220" s="6">
        <v>44132.596342592595</v>
      </c>
      <c r="H220" s="3" t="s">
        <v>2288</v>
      </c>
      <c r="I220" s="3" t="s">
        <v>170</v>
      </c>
      <c r="J220" s="3" t="s">
        <v>2090</v>
      </c>
    </row>
    <row r="221" spans="1:10" x14ac:dyDescent="0.2">
      <c r="A221" s="9">
        <v>127</v>
      </c>
      <c r="B221" s="3" t="s">
        <v>2122</v>
      </c>
      <c r="C221" s="3" t="s">
        <v>2123</v>
      </c>
      <c r="D221" s="3" t="s">
        <v>2118</v>
      </c>
      <c r="E221" s="6">
        <v>44132.59611111111</v>
      </c>
      <c r="F221" s="3" t="s">
        <v>2288</v>
      </c>
      <c r="G221" s="6">
        <v>44132.59611111111</v>
      </c>
      <c r="H221" s="3" t="s">
        <v>2288</v>
      </c>
      <c r="I221" s="3" t="s">
        <v>170</v>
      </c>
      <c r="J221" s="3" t="s">
        <v>2090</v>
      </c>
    </row>
    <row r="222" spans="1:10" x14ac:dyDescent="0.2">
      <c r="A222" s="9">
        <v>126</v>
      </c>
      <c r="B222" s="3" t="s">
        <v>2231</v>
      </c>
      <c r="C222" s="3" t="s">
        <v>2232</v>
      </c>
      <c r="D222" s="3" t="s">
        <v>2118</v>
      </c>
      <c r="E222" s="6">
        <v>44132.592638888891</v>
      </c>
      <c r="F222" s="3" t="s">
        <v>2288</v>
      </c>
      <c r="G222" s="6">
        <v>44132.592638888891</v>
      </c>
      <c r="H222" s="3" t="s">
        <v>2288</v>
      </c>
      <c r="I222" s="3" t="s">
        <v>170</v>
      </c>
      <c r="J222" s="3" t="s">
        <v>2090</v>
      </c>
    </row>
    <row r="223" spans="1:10" x14ac:dyDescent="0.2">
      <c r="A223" s="9">
        <v>125</v>
      </c>
      <c r="B223" s="3" t="s">
        <v>2119</v>
      </c>
      <c r="C223" s="3" t="s">
        <v>2120</v>
      </c>
      <c r="D223" s="3" t="s">
        <v>2118</v>
      </c>
      <c r="E223" s="6">
        <v>44132.591041666667</v>
      </c>
      <c r="F223" s="3" t="s">
        <v>2288</v>
      </c>
      <c r="G223" s="6">
        <v>44132.591041666667</v>
      </c>
      <c r="H223" s="3" t="s">
        <v>2288</v>
      </c>
      <c r="I223" s="3" t="s">
        <v>170</v>
      </c>
      <c r="J223" s="3" t="s">
        <v>2090</v>
      </c>
    </row>
    <row r="224" spans="1:10" x14ac:dyDescent="0.2">
      <c r="A224" s="9">
        <v>124</v>
      </c>
      <c r="B224" s="3" t="s">
        <v>2162</v>
      </c>
      <c r="C224" s="3" t="s">
        <v>2163</v>
      </c>
      <c r="D224" s="3" t="s">
        <v>2089</v>
      </c>
      <c r="E224" s="6">
        <v>44132.585763888892</v>
      </c>
      <c r="F224" s="3" t="s">
        <v>2288</v>
      </c>
      <c r="G224" s="6">
        <v>44132.585763888892</v>
      </c>
      <c r="H224" s="3" t="s">
        <v>2288</v>
      </c>
      <c r="I224" s="3" t="s">
        <v>170</v>
      </c>
      <c r="J224" s="3" t="s">
        <v>2090</v>
      </c>
    </row>
    <row r="225" spans="1:10" x14ac:dyDescent="0.2">
      <c r="A225" s="9">
        <v>123</v>
      </c>
      <c r="B225" s="3" t="s">
        <v>2182</v>
      </c>
      <c r="C225" s="3" t="s">
        <v>2183</v>
      </c>
      <c r="D225" s="3" t="s">
        <v>2290</v>
      </c>
      <c r="E225" s="6">
        <v>44132.581689814811</v>
      </c>
      <c r="F225" s="3" t="s">
        <v>2288</v>
      </c>
      <c r="G225" s="6">
        <v>44132.581689814811</v>
      </c>
      <c r="H225" s="3" t="s">
        <v>2288</v>
      </c>
      <c r="I225" s="3" t="s">
        <v>170</v>
      </c>
      <c r="J225" s="3" t="s">
        <v>2090</v>
      </c>
    </row>
    <row r="226" spans="1:10" x14ac:dyDescent="0.2">
      <c r="A226" s="9">
        <v>122</v>
      </c>
      <c r="B226" s="3" t="s">
        <v>2170</v>
      </c>
      <c r="C226" s="3" t="s">
        <v>2171</v>
      </c>
      <c r="D226" s="3" t="s">
        <v>2290</v>
      </c>
      <c r="E226" s="6">
        <v>44132.581354166665</v>
      </c>
      <c r="F226" s="3" t="s">
        <v>2288</v>
      </c>
      <c r="G226" s="6">
        <v>44132.581354166665</v>
      </c>
      <c r="H226" s="3" t="s">
        <v>2288</v>
      </c>
      <c r="I226" s="3" t="s">
        <v>170</v>
      </c>
      <c r="J226" s="3" t="s">
        <v>2090</v>
      </c>
    </row>
    <row r="227" spans="1:10" x14ac:dyDescent="0.2">
      <c r="A227" s="9">
        <v>121</v>
      </c>
      <c r="B227" s="3" t="s">
        <v>2131</v>
      </c>
      <c r="C227" s="3" t="s">
        <v>2132</v>
      </c>
      <c r="D227" s="3" t="s">
        <v>2290</v>
      </c>
      <c r="E227" s="6">
        <v>44132.579918981479</v>
      </c>
      <c r="F227" s="3" t="s">
        <v>2288</v>
      </c>
      <c r="G227" s="6">
        <v>44132.579918981479</v>
      </c>
      <c r="H227" s="3" t="s">
        <v>2288</v>
      </c>
      <c r="I227" s="3" t="s">
        <v>170</v>
      </c>
      <c r="J227" s="3" t="s">
        <v>2090</v>
      </c>
    </row>
    <row r="228" spans="1:10" x14ac:dyDescent="0.2">
      <c r="A228" s="9">
        <v>120</v>
      </c>
      <c r="B228" s="3" t="s">
        <v>2157</v>
      </c>
      <c r="C228" s="3" t="s">
        <v>36</v>
      </c>
      <c r="D228" s="3" t="s">
        <v>2290</v>
      </c>
      <c r="E228" s="6">
        <v>44132.579074074078</v>
      </c>
      <c r="F228" s="3" t="s">
        <v>2288</v>
      </c>
      <c r="G228" s="6">
        <v>44132.579074074078</v>
      </c>
      <c r="H228" s="3" t="s">
        <v>2288</v>
      </c>
      <c r="I228" s="3" t="s">
        <v>170</v>
      </c>
      <c r="J228" s="3" t="s">
        <v>2090</v>
      </c>
    </row>
    <row r="229" spans="1:10" x14ac:dyDescent="0.2">
      <c r="A229" s="9">
        <v>119</v>
      </c>
      <c r="B229" s="3" t="s">
        <v>2184</v>
      </c>
      <c r="C229" s="3" t="s">
        <v>2185</v>
      </c>
      <c r="D229" s="3" t="s">
        <v>2211</v>
      </c>
      <c r="E229" s="6">
        <v>44132.574305555558</v>
      </c>
      <c r="F229" s="3" t="s">
        <v>2288</v>
      </c>
      <c r="G229" s="6">
        <v>44132.574305555558</v>
      </c>
      <c r="H229" s="3" t="s">
        <v>2288</v>
      </c>
      <c r="I229" s="3" t="s">
        <v>170</v>
      </c>
      <c r="J229" s="3" t="s">
        <v>2090</v>
      </c>
    </row>
    <row r="230" spans="1:10" x14ac:dyDescent="0.2">
      <c r="A230" s="9">
        <v>118</v>
      </c>
      <c r="B230" s="3" t="s">
        <v>2186</v>
      </c>
      <c r="C230" s="3" t="s">
        <v>2187</v>
      </c>
      <c r="D230" s="3" t="s">
        <v>2211</v>
      </c>
      <c r="E230" s="6">
        <v>44132.573900462965</v>
      </c>
      <c r="F230" s="3" t="s">
        <v>2288</v>
      </c>
      <c r="G230" s="6">
        <v>44132.573900462965</v>
      </c>
      <c r="H230" s="3" t="s">
        <v>2288</v>
      </c>
      <c r="I230" s="3" t="s">
        <v>170</v>
      </c>
      <c r="J230" s="3" t="s">
        <v>2090</v>
      </c>
    </row>
    <row r="231" spans="1:10" x14ac:dyDescent="0.2">
      <c r="A231" s="9">
        <v>117</v>
      </c>
      <c r="B231" s="3" t="s">
        <v>2209</v>
      </c>
      <c r="C231" s="3" t="s">
        <v>2210</v>
      </c>
      <c r="D231" s="3" t="s">
        <v>2211</v>
      </c>
      <c r="E231" s="6">
        <v>44132.572638888887</v>
      </c>
      <c r="F231" s="3" t="s">
        <v>2288</v>
      </c>
      <c r="G231" s="6">
        <v>44132.572638888887</v>
      </c>
      <c r="H231" s="3" t="s">
        <v>2288</v>
      </c>
      <c r="I231" s="3" t="s">
        <v>170</v>
      </c>
      <c r="J231" s="3" t="s">
        <v>2090</v>
      </c>
    </row>
    <row r="232" spans="1:10" x14ac:dyDescent="0.2">
      <c r="A232" s="9">
        <v>116</v>
      </c>
      <c r="B232" s="3" t="s">
        <v>2168</v>
      </c>
      <c r="C232" s="3" t="s">
        <v>2169</v>
      </c>
      <c r="D232" s="3" t="s">
        <v>2211</v>
      </c>
      <c r="E232" s="6">
        <v>44132.57167824074</v>
      </c>
      <c r="F232" s="3" t="s">
        <v>2288</v>
      </c>
      <c r="G232" s="6">
        <v>44132.57167824074</v>
      </c>
      <c r="H232" s="3" t="s">
        <v>2288</v>
      </c>
      <c r="I232" s="3" t="s">
        <v>170</v>
      </c>
      <c r="J232" s="3" t="s">
        <v>2090</v>
      </c>
    </row>
    <row r="233" spans="1:10" x14ac:dyDescent="0.2">
      <c r="A233" s="9">
        <v>115</v>
      </c>
      <c r="B233" s="3" t="s">
        <v>2129</v>
      </c>
      <c r="C233" s="3" t="s">
        <v>2130</v>
      </c>
      <c r="D233" s="3" t="s">
        <v>2211</v>
      </c>
      <c r="E233" s="6">
        <v>44132.567789351851</v>
      </c>
      <c r="F233" s="3" t="s">
        <v>2288</v>
      </c>
      <c r="G233" s="6">
        <v>44132.567789351851</v>
      </c>
      <c r="H233" s="3" t="s">
        <v>2288</v>
      </c>
      <c r="I233" s="3" t="s">
        <v>170</v>
      </c>
      <c r="J233" s="3" t="s">
        <v>2090</v>
      </c>
    </row>
    <row r="234" spans="1:10" x14ac:dyDescent="0.2">
      <c r="A234" s="9">
        <v>114</v>
      </c>
      <c r="B234" s="3" t="s">
        <v>2223</v>
      </c>
      <c r="C234" s="3" t="s">
        <v>2224</v>
      </c>
      <c r="D234" s="3" t="s">
        <v>2211</v>
      </c>
      <c r="E234" s="6">
        <v>44132.567280092589</v>
      </c>
      <c r="F234" s="3" t="s">
        <v>2288</v>
      </c>
      <c r="G234" s="6">
        <v>44132.567280092589</v>
      </c>
      <c r="H234" s="3" t="s">
        <v>2288</v>
      </c>
      <c r="I234" s="3" t="s">
        <v>170</v>
      </c>
      <c r="J234" s="3" t="s">
        <v>2090</v>
      </c>
    </row>
    <row r="235" spans="1:10" x14ac:dyDescent="0.2">
      <c r="A235" s="9">
        <v>113</v>
      </c>
      <c r="B235" s="3" t="s">
        <v>2223</v>
      </c>
      <c r="C235" s="3" t="s">
        <v>2224</v>
      </c>
      <c r="D235" s="3" t="s">
        <v>2211</v>
      </c>
      <c r="E235" s="6">
        <v>44132.566805555558</v>
      </c>
      <c r="F235" s="3" t="s">
        <v>2288</v>
      </c>
      <c r="G235" s="6">
        <v>44132.566805555558</v>
      </c>
      <c r="H235" s="3" t="s">
        <v>2288</v>
      </c>
      <c r="I235" s="3" t="s">
        <v>170</v>
      </c>
      <c r="J235" s="3" t="s">
        <v>2090</v>
      </c>
    </row>
    <row r="236" spans="1:10" x14ac:dyDescent="0.2">
      <c r="A236" s="9">
        <v>112</v>
      </c>
      <c r="B236" s="3" t="s">
        <v>2166</v>
      </c>
      <c r="C236" s="3" t="s">
        <v>2167</v>
      </c>
      <c r="D236" s="3" t="s">
        <v>2211</v>
      </c>
      <c r="E236" s="6">
        <v>44132.565497685187</v>
      </c>
      <c r="F236" s="3" t="s">
        <v>2288</v>
      </c>
      <c r="G236" s="6">
        <v>44132.565497685187</v>
      </c>
      <c r="H236" s="3" t="s">
        <v>2288</v>
      </c>
      <c r="I236" s="3" t="s">
        <v>170</v>
      </c>
      <c r="J236" s="3" t="s">
        <v>2090</v>
      </c>
    </row>
    <row r="237" spans="1:10" x14ac:dyDescent="0.2">
      <c r="A237" s="9">
        <v>111</v>
      </c>
      <c r="B237" s="3" t="s">
        <v>2149</v>
      </c>
      <c r="C237" s="3" t="s">
        <v>2150</v>
      </c>
      <c r="D237" s="3" t="s">
        <v>2211</v>
      </c>
      <c r="E237" s="6">
        <v>44132.564837962964</v>
      </c>
      <c r="F237" s="3" t="s">
        <v>2288</v>
      </c>
      <c r="G237" s="6">
        <v>44132.564837962964</v>
      </c>
      <c r="H237" s="3" t="s">
        <v>2288</v>
      </c>
      <c r="I237" s="3" t="s">
        <v>170</v>
      </c>
      <c r="J237" s="3" t="s">
        <v>2090</v>
      </c>
    </row>
    <row r="238" spans="1:10" x14ac:dyDescent="0.2">
      <c r="A238" s="9">
        <v>110</v>
      </c>
      <c r="B238" s="3" t="s">
        <v>2158</v>
      </c>
      <c r="C238" s="3" t="s">
        <v>2159</v>
      </c>
      <c r="D238" s="3" t="s">
        <v>2211</v>
      </c>
      <c r="E238" s="6">
        <v>44132.5546412037</v>
      </c>
      <c r="F238" s="3" t="s">
        <v>2288</v>
      </c>
      <c r="G238" s="6">
        <v>44132.5546412037</v>
      </c>
      <c r="H238" s="3" t="s">
        <v>2288</v>
      </c>
      <c r="I238" s="3" t="s">
        <v>170</v>
      </c>
      <c r="J238" s="3" t="s">
        <v>2090</v>
      </c>
    </row>
    <row r="239" spans="1:10" x14ac:dyDescent="0.2">
      <c r="A239" s="9">
        <v>109</v>
      </c>
      <c r="B239" s="3" t="s">
        <v>2160</v>
      </c>
      <c r="C239" s="3" t="s">
        <v>2161</v>
      </c>
      <c r="D239" s="3" t="s">
        <v>2211</v>
      </c>
      <c r="E239" s="6">
        <v>44132.552511574075</v>
      </c>
      <c r="F239" s="3" t="s">
        <v>2288</v>
      </c>
      <c r="G239" s="6">
        <v>44132.552511574075</v>
      </c>
      <c r="H239" s="3" t="s">
        <v>2288</v>
      </c>
      <c r="I239" s="3" t="s">
        <v>170</v>
      </c>
      <c r="J239" s="3" t="s">
        <v>2090</v>
      </c>
    </row>
    <row r="240" spans="1:10" x14ac:dyDescent="0.2">
      <c r="A240" s="9">
        <v>108</v>
      </c>
      <c r="B240" s="3" t="s">
        <v>2258</v>
      </c>
      <c r="C240" s="3" t="s">
        <v>2259</v>
      </c>
      <c r="D240" s="3" t="s">
        <v>2174</v>
      </c>
      <c r="E240" s="6">
        <v>44132.548275462963</v>
      </c>
      <c r="F240" s="3" t="s">
        <v>2288</v>
      </c>
      <c r="G240" s="6">
        <v>44132.548275462963</v>
      </c>
      <c r="H240" s="3" t="s">
        <v>2288</v>
      </c>
      <c r="I240" s="3" t="s">
        <v>170</v>
      </c>
      <c r="J240" s="3" t="s">
        <v>2090</v>
      </c>
    </row>
    <row r="241" spans="1:10" x14ac:dyDescent="0.2">
      <c r="A241" s="9">
        <v>107</v>
      </c>
      <c r="B241" s="3" t="s">
        <v>2091</v>
      </c>
      <c r="C241" s="3" t="s">
        <v>2092</v>
      </c>
      <c r="D241" s="3" t="s">
        <v>2174</v>
      </c>
      <c r="E241" s="6">
        <v>44132.547199074077</v>
      </c>
      <c r="F241" s="3" t="s">
        <v>2288</v>
      </c>
      <c r="G241" s="6">
        <v>44132.547199074077</v>
      </c>
      <c r="H241" s="3" t="s">
        <v>2288</v>
      </c>
      <c r="I241" s="3" t="s">
        <v>170</v>
      </c>
      <c r="J241" s="3" t="s">
        <v>2090</v>
      </c>
    </row>
    <row r="242" spans="1:10" x14ac:dyDescent="0.2">
      <c r="A242" s="9">
        <v>106</v>
      </c>
      <c r="B242" s="3" t="s">
        <v>2178</v>
      </c>
      <c r="C242" s="3" t="s">
        <v>2179</v>
      </c>
      <c r="D242" s="3" t="s">
        <v>2289</v>
      </c>
      <c r="E242" s="6">
        <v>44132.533680555556</v>
      </c>
      <c r="F242" s="3" t="s">
        <v>2288</v>
      </c>
      <c r="G242" s="6">
        <v>44132.533680555556</v>
      </c>
      <c r="H242" s="3" t="s">
        <v>2288</v>
      </c>
      <c r="I242" s="3" t="s">
        <v>170</v>
      </c>
      <c r="J242" s="3" t="s">
        <v>2090</v>
      </c>
    </row>
    <row r="243" spans="1:10" x14ac:dyDescent="0.2">
      <c r="A243" s="9">
        <v>105</v>
      </c>
      <c r="B243" s="3" t="s">
        <v>2180</v>
      </c>
      <c r="C243" s="3" t="s">
        <v>2181</v>
      </c>
      <c r="D243" s="3" t="s">
        <v>2289</v>
      </c>
      <c r="E243" s="6">
        <v>44132.533275462964</v>
      </c>
      <c r="F243" s="3" t="s">
        <v>2288</v>
      </c>
      <c r="G243" s="6">
        <v>44132.533275462964</v>
      </c>
      <c r="H243" s="3" t="s">
        <v>2288</v>
      </c>
      <c r="I243" s="3" t="s">
        <v>170</v>
      </c>
      <c r="J243" s="3" t="s">
        <v>2090</v>
      </c>
    </row>
    <row r="244" spans="1:10" x14ac:dyDescent="0.2">
      <c r="A244" s="9">
        <v>104</v>
      </c>
      <c r="B244" s="3" t="s">
        <v>2112</v>
      </c>
      <c r="C244" s="3" t="s">
        <v>31</v>
      </c>
      <c r="D244" s="3" t="s">
        <v>2289</v>
      </c>
      <c r="E244" s="6">
        <v>44132.523726851854</v>
      </c>
      <c r="F244" s="3" t="s">
        <v>2288</v>
      </c>
      <c r="G244" s="6">
        <v>44132.523726851854</v>
      </c>
      <c r="H244" s="3" t="s">
        <v>2288</v>
      </c>
      <c r="I244" s="3" t="s">
        <v>170</v>
      </c>
      <c r="J244" s="3" t="s">
        <v>2090</v>
      </c>
    </row>
    <row r="245" spans="1:10" x14ac:dyDescent="0.2">
      <c r="A245" s="9">
        <v>103</v>
      </c>
      <c r="B245" s="3" t="s">
        <v>2137</v>
      </c>
      <c r="C245" s="3" t="s">
        <v>2138</v>
      </c>
      <c r="D245" s="3" t="s">
        <v>2289</v>
      </c>
      <c r="E245" s="6">
        <v>44132.523182870369</v>
      </c>
      <c r="F245" s="3" t="s">
        <v>2288</v>
      </c>
      <c r="G245" s="6">
        <v>44132.523182870369</v>
      </c>
      <c r="H245" s="3" t="s">
        <v>2288</v>
      </c>
      <c r="I245" s="3" t="s">
        <v>170</v>
      </c>
      <c r="J245" s="3" t="s">
        <v>2090</v>
      </c>
    </row>
    <row r="246" spans="1:10" x14ac:dyDescent="0.2">
      <c r="A246" s="9">
        <v>102</v>
      </c>
      <c r="B246" s="3" t="s">
        <v>2251</v>
      </c>
      <c r="C246" s="3" t="s">
        <v>2252</v>
      </c>
      <c r="D246" s="3" t="s">
        <v>2291</v>
      </c>
      <c r="E246" s="6">
        <v>44074.56355324074</v>
      </c>
      <c r="F246" s="3" t="s">
        <v>168</v>
      </c>
      <c r="G246" s="6">
        <v>44074.56355324074</v>
      </c>
      <c r="H246" s="3" t="s">
        <v>168</v>
      </c>
      <c r="I246" s="3" t="s">
        <v>170</v>
      </c>
      <c r="J246" s="3" t="s">
        <v>2090</v>
      </c>
    </row>
    <row r="247" spans="1:10" x14ac:dyDescent="0.2">
      <c r="A247" s="9">
        <v>101</v>
      </c>
      <c r="B247" s="3" t="s">
        <v>2251</v>
      </c>
      <c r="C247" s="3" t="s">
        <v>2252</v>
      </c>
      <c r="D247" s="3" t="s">
        <v>2177</v>
      </c>
      <c r="E247" s="6">
        <v>44074.328726851854</v>
      </c>
      <c r="F247" s="3" t="s">
        <v>168</v>
      </c>
      <c r="G247" s="6">
        <v>44074.328726851854</v>
      </c>
      <c r="H247" s="3" t="s">
        <v>168</v>
      </c>
      <c r="I247" s="3" t="s">
        <v>170</v>
      </c>
      <c r="J247" s="3" t="s">
        <v>2090</v>
      </c>
    </row>
    <row r="248" spans="1:10" x14ac:dyDescent="0.2">
      <c r="A248" s="9">
        <v>100</v>
      </c>
      <c r="B248" s="3" t="s">
        <v>2175</v>
      </c>
      <c r="C248" s="3" t="s">
        <v>2176</v>
      </c>
      <c r="D248" s="3" t="s">
        <v>2103</v>
      </c>
      <c r="E248" s="6">
        <v>44072.356180555558</v>
      </c>
      <c r="F248" s="3" t="s">
        <v>168</v>
      </c>
      <c r="G248" s="6">
        <v>44072.356180555558</v>
      </c>
      <c r="H248" s="3" t="s">
        <v>168</v>
      </c>
      <c r="I248" s="3" t="s">
        <v>170</v>
      </c>
      <c r="J248" s="3" t="s">
        <v>2090</v>
      </c>
    </row>
    <row r="249" spans="1:10" x14ac:dyDescent="0.2">
      <c r="A249" s="9">
        <v>99</v>
      </c>
      <c r="B249" s="3" t="s">
        <v>2286</v>
      </c>
      <c r="C249" s="3" t="s">
        <v>2287</v>
      </c>
      <c r="D249" s="3" t="s">
        <v>2292</v>
      </c>
      <c r="E249" s="6">
        <v>44072.297731481478</v>
      </c>
      <c r="F249" s="3" t="s">
        <v>168</v>
      </c>
      <c r="G249" s="6">
        <v>44072.297731481478</v>
      </c>
      <c r="H249" s="3" t="s">
        <v>168</v>
      </c>
      <c r="I249" s="3" t="s">
        <v>170</v>
      </c>
      <c r="J249" s="3" t="s">
        <v>2090</v>
      </c>
    </row>
    <row r="250" spans="1:10" x14ac:dyDescent="0.2">
      <c r="A250" s="9">
        <v>98</v>
      </c>
      <c r="B250" s="3" t="s">
        <v>2251</v>
      </c>
      <c r="C250" s="3" t="s">
        <v>2252</v>
      </c>
      <c r="D250" s="3" t="s">
        <v>2103</v>
      </c>
      <c r="E250" s="6">
        <v>44072.297523148147</v>
      </c>
      <c r="F250" s="3" t="s">
        <v>168</v>
      </c>
      <c r="G250" s="6">
        <v>44072.297523148147</v>
      </c>
      <c r="H250" s="3" t="s">
        <v>168</v>
      </c>
      <c r="I250" s="3" t="s">
        <v>170</v>
      </c>
      <c r="J250" s="3" t="s">
        <v>2090</v>
      </c>
    </row>
    <row r="251" spans="1:10" x14ac:dyDescent="0.2">
      <c r="A251" s="9">
        <v>97</v>
      </c>
      <c r="B251" s="3" t="s">
        <v>2094</v>
      </c>
      <c r="C251" s="3" t="s">
        <v>2095</v>
      </c>
      <c r="D251" s="3" t="s">
        <v>2293</v>
      </c>
      <c r="E251" s="6">
        <v>44071.265567129631</v>
      </c>
      <c r="F251" s="3" t="s">
        <v>168</v>
      </c>
      <c r="G251" s="6">
        <v>44071.265567129631</v>
      </c>
      <c r="H251" s="3" t="s">
        <v>168</v>
      </c>
      <c r="I251" s="3" t="s">
        <v>170</v>
      </c>
      <c r="J251" s="3" t="s">
        <v>2090</v>
      </c>
    </row>
    <row r="252" spans="1:10" x14ac:dyDescent="0.2">
      <c r="A252" s="9">
        <v>96</v>
      </c>
      <c r="B252" s="3" t="s">
        <v>2097</v>
      </c>
      <c r="C252" s="3" t="s">
        <v>2098</v>
      </c>
      <c r="D252" s="3" t="s">
        <v>2293</v>
      </c>
      <c r="E252" s="6">
        <v>44071.265474537038</v>
      </c>
      <c r="F252" s="3" t="s">
        <v>168</v>
      </c>
      <c r="G252" s="6">
        <v>44071.265474537038</v>
      </c>
      <c r="H252" s="3" t="s">
        <v>168</v>
      </c>
      <c r="I252" s="3" t="s">
        <v>170</v>
      </c>
      <c r="J252" s="3" t="s">
        <v>2090</v>
      </c>
    </row>
    <row r="253" spans="1:10" x14ac:dyDescent="0.2">
      <c r="A253" s="9">
        <v>95</v>
      </c>
      <c r="B253" s="3" t="s">
        <v>2194</v>
      </c>
      <c r="C253" s="3" t="s">
        <v>2195</v>
      </c>
      <c r="D253" s="3" t="s">
        <v>2289</v>
      </c>
      <c r="E253" s="6">
        <v>44070.575335648151</v>
      </c>
      <c r="F253" s="3" t="s">
        <v>168</v>
      </c>
      <c r="G253" s="6">
        <v>44070.575335648151</v>
      </c>
      <c r="H253" s="3" t="s">
        <v>168</v>
      </c>
      <c r="I253" s="3" t="s">
        <v>170</v>
      </c>
      <c r="J253" s="3" t="s">
        <v>2090</v>
      </c>
    </row>
    <row r="254" spans="1:10" x14ac:dyDescent="0.2">
      <c r="A254" s="9">
        <v>94</v>
      </c>
      <c r="B254" s="3" t="s">
        <v>38</v>
      </c>
      <c r="C254" s="3" t="s">
        <v>2220</v>
      </c>
      <c r="D254" s="3" t="s">
        <v>2289</v>
      </c>
      <c r="E254" s="6">
        <v>44070.574861111112</v>
      </c>
      <c r="F254" s="3" t="s">
        <v>168</v>
      </c>
      <c r="G254" s="6">
        <v>44070.574861111112</v>
      </c>
      <c r="H254" s="3" t="s">
        <v>168</v>
      </c>
      <c r="I254" s="3" t="s">
        <v>170</v>
      </c>
      <c r="J254" s="3" t="s">
        <v>2090</v>
      </c>
    </row>
    <row r="255" spans="1:10" x14ac:dyDescent="0.2">
      <c r="A255" s="9">
        <v>93</v>
      </c>
      <c r="B255" s="3" t="s">
        <v>2207</v>
      </c>
      <c r="C255" s="3" t="s">
        <v>2208</v>
      </c>
      <c r="D255" s="3" t="s">
        <v>2289</v>
      </c>
      <c r="E255" s="6">
        <v>44070.572152777779</v>
      </c>
      <c r="F255" s="3" t="s">
        <v>168</v>
      </c>
      <c r="G255" s="6">
        <v>44070.572152777779</v>
      </c>
      <c r="H255" s="3" t="s">
        <v>168</v>
      </c>
      <c r="I255" s="3" t="s">
        <v>170</v>
      </c>
      <c r="J255" s="3" t="s">
        <v>2090</v>
      </c>
    </row>
    <row r="256" spans="1:10" x14ac:dyDescent="0.2">
      <c r="A256" s="9">
        <v>92</v>
      </c>
      <c r="B256" s="3" t="s">
        <v>2175</v>
      </c>
      <c r="C256" s="3" t="s">
        <v>2176</v>
      </c>
      <c r="D256" s="3" t="s">
        <v>2294</v>
      </c>
      <c r="E256" s="6">
        <v>44070.567291666666</v>
      </c>
      <c r="F256" s="3" t="s">
        <v>2276</v>
      </c>
      <c r="G256" s="6">
        <v>44070.567291666666</v>
      </c>
      <c r="H256" s="3" t="s">
        <v>2276</v>
      </c>
      <c r="I256" s="3" t="s">
        <v>170</v>
      </c>
      <c r="J256" s="3" t="s">
        <v>2090</v>
      </c>
    </row>
    <row r="257" spans="1:10" x14ac:dyDescent="0.2">
      <c r="A257" s="9">
        <v>91</v>
      </c>
      <c r="B257" s="3" t="s">
        <v>2175</v>
      </c>
      <c r="C257" s="3" t="s">
        <v>2176</v>
      </c>
      <c r="D257" s="3" t="s">
        <v>2295</v>
      </c>
      <c r="E257" s="6">
        <v>44070.566180555557</v>
      </c>
      <c r="F257" s="3" t="s">
        <v>2276</v>
      </c>
      <c r="G257" s="6">
        <v>44070.566180555557</v>
      </c>
      <c r="H257" s="3" t="s">
        <v>2276</v>
      </c>
      <c r="I257" s="3" t="s">
        <v>170</v>
      </c>
      <c r="J257" s="3" t="s">
        <v>2090</v>
      </c>
    </row>
    <row r="258" spans="1:10" x14ac:dyDescent="0.2">
      <c r="A258" s="9">
        <v>90</v>
      </c>
      <c r="B258" s="3" t="s">
        <v>2274</v>
      </c>
      <c r="C258" s="3" t="s">
        <v>44</v>
      </c>
      <c r="D258" s="3" t="s">
        <v>2177</v>
      </c>
      <c r="E258" s="6">
        <v>44070.326145833336</v>
      </c>
      <c r="F258" s="3" t="s">
        <v>168</v>
      </c>
      <c r="G258" s="6">
        <v>44070.326145833336</v>
      </c>
      <c r="H258" s="3" t="s">
        <v>168</v>
      </c>
      <c r="I258" s="3" t="s">
        <v>170</v>
      </c>
      <c r="J258" s="3" t="s">
        <v>2090</v>
      </c>
    </row>
    <row r="259" spans="1:10" x14ac:dyDescent="0.2">
      <c r="A259" s="9">
        <v>89</v>
      </c>
      <c r="B259" s="3" t="s">
        <v>2202</v>
      </c>
      <c r="C259" s="3" t="s">
        <v>2203</v>
      </c>
      <c r="D259" s="3" t="s">
        <v>2118</v>
      </c>
      <c r="E259" s="6">
        <v>44068.47347222222</v>
      </c>
      <c r="F259" s="3" t="s">
        <v>2276</v>
      </c>
      <c r="G259" s="6">
        <v>44068.47347222222</v>
      </c>
      <c r="H259" s="3" t="s">
        <v>2276</v>
      </c>
      <c r="I259" s="3" t="s">
        <v>170</v>
      </c>
      <c r="J259" s="3" t="s">
        <v>2090</v>
      </c>
    </row>
    <row r="260" spans="1:10" x14ac:dyDescent="0.2">
      <c r="A260" s="9">
        <v>88</v>
      </c>
      <c r="B260" s="3" t="s">
        <v>2296</v>
      </c>
      <c r="C260" s="3" t="s">
        <v>2213</v>
      </c>
      <c r="D260" s="3" t="s">
        <v>2118</v>
      </c>
      <c r="E260" s="6">
        <v>44068.473136574074</v>
      </c>
      <c r="F260" s="3" t="s">
        <v>2276</v>
      </c>
      <c r="G260" s="6">
        <v>44068.473136574074</v>
      </c>
      <c r="H260" s="3" t="s">
        <v>2276</v>
      </c>
      <c r="I260" s="3" t="s">
        <v>170</v>
      </c>
      <c r="J260" s="3" t="s">
        <v>2090</v>
      </c>
    </row>
    <row r="261" spans="1:10" x14ac:dyDescent="0.2">
      <c r="A261" s="9">
        <v>87</v>
      </c>
      <c r="B261" s="3" t="s">
        <v>2229</v>
      </c>
      <c r="C261" s="3" t="s">
        <v>2230</v>
      </c>
      <c r="D261" s="3" t="s">
        <v>2118</v>
      </c>
      <c r="E261" s="6">
        <v>44068.472743055558</v>
      </c>
      <c r="F261" s="3" t="s">
        <v>2276</v>
      </c>
      <c r="G261" s="6">
        <v>44068.472743055558</v>
      </c>
      <c r="H261" s="3" t="s">
        <v>2276</v>
      </c>
      <c r="I261" s="3" t="s">
        <v>170</v>
      </c>
      <c r="J261" s="3" t="s">
        <v>2090</v>
      </c>
    </row>
    <row r="262" spans="1:10" x14ac:dyDescent="0.2">
      <c r="A262" s="9">
        <v>86</v>
      </c>
      <c r="B262" s="3" t="s">
        <v>2231</v>
      </c>
      <c r="C262" s="3" t="s">
        <v>2232</v>
      </c>
      <c r="D262" s="3" t="s">
        <v>2118</v>
      </c>
      <c r="E262" s="6">
        <v>44068.47252314815</v>
      </c>
      <c r="F262" s="3" t="s">
        <v>2276</v>
      </c>
      <c r="G262" s="6">
        <v>44068.47252314815</v>
      </c>
      <c r="H262" s="3" t="s">
        <v>2276</v>
      </c>
      <c r="I262" s="3" t="s">
        <v>170</v>
      </c>
      <c r="J262" s="3" t="s">
        <v>2090</v>
      </c>
    </row>
    <row r="263" spans="1:10" x14ac:dyDescent="0.2">
      <c r="A263" s="9">
        <v>85</v>
      </c>
      <c r="B263" s="3" t="s">
        <v>33</v>
      </c>
      <c r="C263" s="3" t="s">
        <v>2139</v>
      </c>
      <c r="D263" s="3" t="s">
        <v>2118</v>
      </c>
      <c r="E263" s="6">
        <v>44068.472291666665</v>
      </c>
      <c r="F263" s="3" t="s">
        <v>2276</v>
      </c>
      <c r="G263" s="6">
        <v>44068.472291666665</v>
      </c>
      <c r="H263" s="3" t="s">
        <v>2276</v>
      </c>
      <c r="I263" s="3" t="s">
        <v>170</v>
      </c>
      <c r="J263" s="3" t="s">
        <v>2090</v>
      </c>
    </row>
    <row r="264" spans="1:10" x14ac:dyDescent="0.2">
      <c r="A264" s="9">
        <v>84</v>
      </c>
      <c r="B264" s="3" t="s">
        <v>2151</v>
      </c>
      <c r="C264" s="3" t="s">
        <v>2152</v>
      </c>
      <c r="D264" s="3" t="s">
        <v>2118</v>
      </c>
      <c r="E264" s="6">
        <v>44068.47210648148</v>
      </c>
      <c r="F264" s="3" t="s">
        <v>2276</v>
      </c>
      <c r="G264" s="6">
        <v>44068.47210648148</v>
      </c>
      <c r="H264" s="3" t="s">
        <v>2276</v>
      </c>
      <c r="I264" s="3" t="s">
        <v>170</v>
      </c>
      <c r="J264" s="3" t="s">
        <v>2090</v>
      </c>
    </row>
    <row r="265" spans="1:10" x14ac:dyDescent="0.2">
      <c r="A265" s="9">
        <v>83</v>
      </c>
      <c r="B265" s="3" t="s">
        <v>2233</v>
      </c>
      <c r="C265" s="3" t="s">
        <v>2234</v>
      </c>
      <c r="D265" s="3" t="s">
        <v>2118</v>
      </c>
      <c r="E265" s="6">
        <v>44068.471562500003</v>
      </c>
      <c r="F265" s="3" t="s">
        <v>2276</v>
      </c>
      <c r="G265" s="6">
        <v>44068.471562500003</v>
      </c>
      <c r="H265" s="3" t="s">
        <v>2276</v>
      </c>
      <c r="I265" s="3" t="s">
        <v>170</v>
      </c>
      <c r="J265" s="3" t="s">
        <v>2090</v>
      </c>
    </row>
    <row r="266" spans="1:10" x14ac:dyDescent="0.2">
      <c r="A266" s="9">
        <v>82</v>
      </c>
      <c r="B266" s="3" t="s">
        <v>2235</v>
      </c>
      <c r="C266" s="3" t="s">
        <v>2236</v>
      </c>
      <c r="D266" s="3" t="s">
        <v>2118</v>
      </c>
      <c r="E266" s="6">
        <v>44068.471458333333</v>
      </c>
      <c r="F266" s="3" t="s">
        <v>2276</v>
      </c>
      <c r="G266" s="6">
        <v>44068.471458333333</v>
      </c>
      <c r="H266" s="3" t="s">
        <v>2276</v>
      </c>
      <c r="I266" s="3" t="s">
        <v>170</v>
      </c>
      <c r="J266" s="3" t="s">
        <v>2090</v>
      </c>
    </row>
    <row r="267" spans="1:10" x14ac:dyDescent="0.2">
      <c r="A267" s="9">
        <v>81</v>
      </c>
      <c r="B267" s="3" t="s">
        <v>2106</v>
      </c>
      <c r="C267" s="3" t="s">
        <v>2107</v>
      </c>
      <c r="D267" s="3" t="s">
        <v>2118</v>
      </c>
      <c r="E267" s="6">
        <v>44068.470347222225</v>
      </c>
      <c r="F267" s="3" t="s">
        <v>2276</v>
      </c>
      <c r="G267" s="6">
        <v>44068.470347222225</v>
      </c>
      <c r="H267" s="3" t="s">
        <v>2276</v>
      </c>
      <c r="I267" s="3" t="s">
        <v>170</v>
      </c>
      <c r="J267" s="3" t="s">
        <v>2090</v>
      </c>
    </row>
    <row r="268" spans="1:10" x14ac:dyDescent="0.2">
      <c r="A268" s="9">
        <v>80</v>
      </c>
      <c r="B268" s="3" t="s">
        <v>2108</v>
      </c>
      <c r="C268" s="3" t="s">
        <v>2109</v>
      </c>
      <c r="D268" s="3" t="s">
        <v>2118</v>
      </c>
      <c r="E268" s="6">
        <v>44068.470254629632</v>
      </c>
      <c r="F268" s="3" t="s">
        <v>2276</v>
      </c>
      <c r="G268" s="6">
        <v>44068.470254629632</v>
      </c>
      <c r="H268" s="3" t="s">
        <v>2276</v>
      </c>
      <c r="I268" s="3" t="s">
        <v>170</v>
      </c>
      <c r="J268" s="3" t="s">
        <v>2090</v>
      </c>
    </row>
    <row r="269" spans="1:10" x14ac:dyDescent="0.2">
      <c r="A269" s="9">
        <v>79</v>
      </c>
      <c r="B269" s="3" t="s">
        <v>2227</v>
      </c>
      <c r="C269" s="3" t="s">
        <v>2228</v>
      </c>
      <c r="D269" s="3" t="s">
        <v>2089</v>
      </c>
      <c r="E269" s="6">
        <v>44068.469351851854</v>
      </c>
      <c r="F269" s="3" t="s">
        <v>2276</v>
      </c>
      <c r="G269" s="6">
        <v>44068.469351851854</v>
      </c>
      <c r="H269" s="3" t="s">
        <v>2276</v>
      </c>
      <c r="I269" s="3" t="s">
        <v>170</v>
      </c>
      <c r="J269" s="3" t="s">
        <v>2090</v>
      </c>
    </row>
    <row r="270" spans="1:10" x14ac:dyDescent="0.2">
      <c r="A270" s="9">
        <v>78</v>
      </c>
      <c r="B270" s="3" t="s">
        <v>2255</v>
      </c>
      <c r="C270" s="3" t="s">
        <v>2256</v>
      </c>
      <c r="D270" s="3" t="s">
        <v>2089</v>
      </c>
      <c r="E270" s="6">
        <v>44068.468900462962</v>
      </c>
      <c r="F270" s="3" t="s">
        <v>2276</v>
      </c>
      <c r="G270" s="6">
        <v>44068.468900462962</v>
      </c>
      <c r="H270" s="3" t="s">
        <v>2276</v>
      </c>
      <c r="I270" s="3" t="s">
        <v>170</v>
      </c>
      <c r="J270" s="3" t="s">
        <v>2090</v>
      </c>
    </row>
    <row r="271" spans="1:10" x14ac:dyDescent="0.2">
      <c r="A271" s="9">
        <v>77</v>
      </c>
      <c r="B271" s="3" t="s">
        <v>2272</v>
      </c>
      <c r="C271" s="3" t="s">
        <v>2273</v>
      </c>
      <c r="D271" s="3" t="s">
        <v>2089</v>
      </c>
      <c r="E271" s="6">
        <v>44068.468726851854</v>
      </c>
      <c r="F271" s="3" t="s">
        <v>2276</v>
      </c>
      <c r="G271" s="6">
        <v>44068.468726851854</v>
      </c>
      <c r="H271" s="3" t="s">
        <v>2276</v>
      </c>
      <c r="I271" s="3" t="s">
        <v>170</v>
      </c>
      <c r="J271" s="3" t="s">
        <v>2090</v>
      </c>
    </row>
    <row r="272" spans="1:10" x14ac:dyDescent="0.2">
      <c r="A272" s="9">
        <v>76</v>
      </c>
      <c r="B272" s="3" t="s">
        <v>2087</v>
      </c>
      <c r="C272" s="3" t="s">
        <v>2088</v>
      </c>
      <c r="D272" s="3" t="s">
        <v>2089</v>
      </c>
      <c r="E272" s="6">
        <v>44068.468518518515</v>
      </c>
      <c r="F272" s="3" t="s">
        <v>2276</v>
      </c>
      <c r="G272" s="6">
        <v>44068.468518518515</v>
      </c>
      <c r="H272" s="3" t="s">
        <v>2276</v>
      </c>
      <c r="I272" s="3" t="s">
        <v>170</v>
      </c>
      <c r="J272" s="3" t="s">
        <v>2090</v>
      </c>
    </row>
    <row r="273" spans="1:10" x14ac:dyDescent="0.2">
      <c r="A273" s="9">
        <v>75</v>
      </c>
      <c r="B273" s="3" t="s">
        <v>2192</v>
      </c>
      <c r="C273" s="3" t="s">
        <v>2193</v>
      </c>
      <c r="D273" s="3" t="s">
        <v>2089</v>
      </c>
      <c r="E273" s="6">
        <v>44068.468333333331</v>
      </c>
      <c r="F273" s="3" t="s">
        <v>2276</v>
      </c>
      <c r="G273" s="6">
        <v>44068.468333333331</v>
      </c>
      <c r="H273" s="3" t="s">
        <v>2276</v>
      </c>
      <c r="I273" s="3" t="s">
        <v>170</v>
      </c>
      <c r="J273" s="3" t="s">
        <v>2090</v>
      </c>
    </row>
    <row r="274" spans="1:10" x14ac:dyDescent="0.2">
      <c r="A274" s="9">
        <v>74</v>
      </c>
      <c r="B274" s="3" t="s">
        <v>2196</v>
      </c>
      <c r="C274" s="3" t="s">
        <v>2197</v>
      </c>
      <c r="D274" s="3" t="s">
        <v>2089</v>
      </c>
      <c r="E274" s="6">
        <v>44068.468136574076</v>
      </c>
      <c r="F274" s="3" t="s">
        <v>2276</v>
      </c>
      <c r="G274" s="6">
        <v>44068.468136574076</v>
      </c>
      <c r="H274" s="3" t="s">
        <v>2276</v>
      </c>
      <c r="I274" s="3" t="s">
        <v>170</v>
      </c>
      <c r="J274" s="3" t="s">
        <v>2090</v>
      </c>
    </row>
    <row r="275" spans="1:10" x14ac:dyDescent="0.2">
      <c r="A275" s="9">
        <v>73</v>
      </c>
      <c r="B275" s="3" t="s">
        <v>2214</v>
      </c>
      <c r="C275" s="3" t="s">
        <v>2215</v>
      </c>
      <c r="D275" s="3" t="s">
        <v>2089</v>
      </c>
      <c r="E275" s="6">
        <v>44068.467939814815</v>
      </c>
      <c r="F275" s="3" t="s">
        <v>2276</v>
      </c>
      <c r="G275" s="6">
        <v>44068.467939814815</v>
      </c>
      <c r="H275" s="3" t="s">
        <v>2276</v>
      </c>
      <c r="I275" s="3" t="s">
        <v>170</v>
      </c>
      <c r="J275" s="3" t="s">
        <v>2090</v>
      </c>
    </row>
    <row r="276" spans="1:10" x14ac:dyDescent="0.2">
      <c r="A276" s="9">
        <v>72</v>
      </c>
      <c r="B276" s="3" t="s">
        <v>2205</v>
      </c>
      <c r="C276" s="3" t="s">
        <v>2206</v>
      </c>
      <c r="D276" s="3" t="s">
        <v>2089</v>
      </c>
      <c r="E276" s="6">
        <v>44068.467719907407</v>
      </c>
      <c r="F276" s="3" t="s">
        <v>2276</v>
      </c>
      <c r="G276" s="6">
        <v>44068.467719907407</v>
      </c>
      <c r="H276" s="3" t="s">
        <v>2276</v>
      </c>
      <c r="I276" s="3" t="s">
        <v>170</v>
      </c>
      <c r="J276" s="3" t="s">
        <v>2090</v>
      </c>
    </row>
    <row r="277" spans="1:10" x14ac:dyDescent="0.2">
      <c r="A277" s="9">
        <v>71</v>
      </c>
      <c r="B277" s="3" t="s">
        <v>2216</v>
      </c>
      <c r="C277" s="3" t="s">
        <v>2217</v>
      </c>
      <c r="D277" s="3" t="s">
        <v>2089</v>
      </c>
      <c r="E277" s="6">
        <v>44068.467534722222</v>
      </c>
      <c r="F277" s="3" t="s">
        <v>2276</v>
      </c>
      <c r="G277" s="6">
        <v>44068.467534722222</v>
      </c>
      <c r="H277" s="3" t="s">
        <v>2276</v>
      </c>
      <c r="I277" s="3" t="s">
        <v>170</v>
      </c>
      <c r="J277" s="3" t="s">
        <v>2090</v>
      </c>
    </row>
    <row r="278" spans="1:10" x14ac:dyDescent="0.2">
      <c r="A278" s="9">
        <v>70</v>
      </c>
      <c r="B278" s="3" t="s">
        <v>2257</v>
      </c>
      <c r="C278" s="3" t="s">
        <v>43</v>
      </c>
      <c r="D278" s="3" t="s">
        <v>2089</v>
      </c>
      <c r="E278" s="6">
        <v>44068.467372685183</v>
      </c>
      <c r="F278" s="3" t="s">
        <v>2276</v>
      </c>
      <c r="G278" s="6">
        <v>44068.467372685183</v>
      </c>
      <c r="H278" s="3" t="s">
        <v>2276</v>
      </c>
      <c r="I278" s="3" t="s">
        <v>170</v>
      </c>
      <c r="J278" s="3" t="s">
        <v>2090</v>
      </c>
    </row>
    <row r="279" spans="1:10" x14ac:dyDescent="0.2">
      <c r="A279" s="9">
        <v>69</v>
      </c>
      <c r="B279" s="3" t="s">
        <v>2119</v>
      </c>
      <c r="C279" s="3" t="s">
        <v>2120</v>
      </c>
      <c r="D279" s="3" t="s">
        <v>2297</v>
      </c>
      <c r="E279" s="6">
        <v>44068.466967592591</v>
      </c>
      <c r="F279" s="3" t="s">
        <v>2276</v>
      </c>
      <c r="G279" s="6">
        <v>44068.466967592591</v>
      </c>
      <c r="H279" s="3" t="s">
        <v>2276</v>
      </c>
      <c r="I279" s="3" t="s">
        <v>170</v>
      </c>
      <c r="J279" s="3" t="s">
        <v>2090</v>
      </c>
    </row>
    <row r="280" spans="1:10" x14ac:dyDescent="0.2">
      <c r="A280" s="9">
        <v>68</v>
      </c>
      <c r="B280" s="3" t="s">
        <v>2149</v>
      </c>
      <c r="C280" s="3" t="s">
        <v>2150</v>
      </c>
      <c r="D280" s="3" t="s">
        <v>2298</v>
      </c>
      <c r="E280" s="6">
        <v>44068.465324074074</v>
      </c>
      <c r="F280" s="3" t="s">
        <v>2276</v>
      </c>
      <c r="G280" s="6">
        <v>44068.465324074074</v>
      </c>
      <c r="H280" s="3" t="s">
        <v>2276</v>
      </c>
      <c r="I280" s="3" t="s">
        <v>170</v>
      </c>
      <c r="J280" s="3" t="s">
        <v>2090</v>
      </c>
    </row>
    <row r="281" spans="1:10" x14ac:dyDescent="0.2">
      <c r="A281" s="9">
        <v>67</v>
      </c>
      <c r="B281" s="3" t="s">
        <v>2149</v>
      </c>
      <c r="C281" s="3" t="s">
        <v>2150</v>
      </c>
      <c r="D281" s="3" t="s">
        <v>2298</v>
      </c>
      <c r="E281" s="6">
        <v>44068.46230324074</v>
      </c>
      <c r="F281" s="3" t="s">
        <v>2276</v>
      </c>
      <c r="G281" s="6">
        <v>44068.46230324074</v>
      </c>
      <c r="H281" s="3" t="s">
        <v>2276</v>
      </c>
      <c r="I281" s="3" t="s">
        <v>170</v>
      </c>
      <c r="J281" s="3" t="s">
        <v>2090</v>
      </c>
    </row>
    <row r="282" spans="1:10" x14ac:dyDescent="0.2">
      <c r="A282" s="9">
        <v>66</v>
      </c>
      <c r="B282" s="3" t="s">
        <v>2166</v>
      </c>
      <c r="C282" s="3" t="s">
        <v>2167</v>
      </c>
      <c r="D282" s="3" t="s">
        <v>2298</v>
      </c>
      <c r="E282" s="6">
        <v>44068.462118055555</v>
      </c>
      <c r="F282" s="3" t="s">
        <v>2276</v>
      </c>
      <c r="G282" s="6">
        <v>44068.462118055555</v>
      </c>
      <c r="H282" s="3" t="s">
        <v>2276</v>
      </c>
      <c r="I282" s="3" t="s">
        <v>170</v>
      </c>
      <c r="J282" s="3" t="s">
        <v>2090</v>
      </c>
    </row>
    <row r="283" spans="1:10" x14ac:dyDescent="0.2">
      <c r="A283" s="9">
        <v>65</v>
      </c>
      <c r="B283" s="3" t="s">
        <v>2178</v>
      </c>
      <c r="C283" s="3" t="s">
        <v>2179</v>
      </c>
      <c r="D283" s="3" t="s">
        <v>2298</v>
      </c>
      <c r="E283" s="6">
        <v>44068.461817129632</v>
      </c>
      <c r="F283" s="3" t="s">
        <v>2276</v>
      </c>
      <c r="G283" s="6">
        <v>44068.461817129632</v>
      </c>
      <c r="H283" s="3" t="s">
        <v>2276</v>
      </c>
      <c r="I283" s="3" t="s">
        <v>170</v>
      </c>
      <c r="J283" s="3" t="s">
        <v>2090</v>
      </c>
    </row>
    <row r="284" spans="1:10" x14ac:dyDescent="0.2">
      <c r="A284" s="9">
        <v>64</v>
      </c>
      <c r="B284" s="3" t="s">
        <v>2180</v>
      </c>
      <c r="C284" s="3" t="s">
        <v>2181</v>
      </c>
      <c r="D284" s="3" t="s">
        <v>2298</v>
      </c>
      <c r="E284" s="6">
        <v>44068.461446759262</v>
      </c>
      <c r="F284" s="3" t="s">
        <v>2276</v>
      </c>
      <c r="G284" s="6">
        <v>44068.461446759262</v>
      </c>
      <c r="H284" s="3" t="s">
        <v>2276</v>
      </c>
      <c r="I284" s="3" t="s">
        <v>170</v>
      </c>
      <c r="J284" s="3" t="s">
        <v>2090</v>
      </c>
    </row>
    <row r="285" spans="1:10" x14ac:dyDescent="0.2">
      <c r="A285" s="9">
        <v>63</v>
      </c>
      <c r="B285" s="3" t="s">
        <v>2091</v>
      </c>
      <c r="C285" s="3" t="s">
        <v>2092</v>
      </c>
      <c r="D285" s="3" t="s">
        <v>2298</v>
      </c>
      <c r="E285" s="6">
        <v>44068.460972222223</v>
      </c>
      <c r="F285" s="3" t="s">
        <v>2276</v>
      </c>
      <c r="G285" s="6">
        <v>44068.460972222223</v>
      </c>
      <c r="H285" s="3" t="s">
        <v>2276</v>
      </c>
      <c r="I285" s="3" t="s">
        <v>170</v>
      </c>
      <c r="J285" s="3" t="s">
        <v>2090</v>
      </c>
    </row>
    <row r="286" spans="1:10" x14ac:dyDescent="0.2">
      <c r="A286" s="9">
        <v>62</v>
      </c>
      <c r="B286" s="3" t="s">
        <v>2125</v>
      </c>
      <c r="C286" s="3" t="s">
        <v>2126</v>
      </c>
      <c r="D286" s="3" t="s">
        <v>2298</v>
      </c>
      <c r="E286" s="6">
        <v>44068.460821759261</v>
      </c>
      <c r="F286" s="3" t="s">
        <v>2276</v>
      </c>
      <c r="G286" s="6">
        <v>44068.460821759261</v>
      </c>
      <c r="H286" s="3" t="s">
        <v>2276</v>
      </c>
      <c r="I286" s="3" t="s">
        <v>170</v>
      </c>
      <c r="J286" s="3" t="s">
        <v>2090</v>
      </c>
    </row>
    <row r="287" spans="1:10" x14ac:dyDescent="0.2">
      <c r="A287" s="9">
        <v>61</v>
      </c>
      <c r="B287" s="3" t="s">
        <v>2112</v>
      </c>
      <c r="C287" s="3" t="s">
        <v>31</v>
      </c>
      <c r="D287" s="3" t="s">
        <v>2298</v>
      </c>
      <c r="E287" s="6">
        <v>44068.460682870369</v>
      </c>
      <c r="F287" s="3" t="s">
        <v>2276</v>
      </c>
      <c r="G287" s="6">
        <v>44068.460682870369</v>
      </c>
      <c r="H287" s="3" t="s">
        <v>2276</v>
      </c>
      <c r="I287" s="3" t="s">
        <v>170</v>
      </c>
      <c r="J287" s="3" t="s">
        <v>2090</v>
      </c>
    </row>
    <row r="288" spans="1:10" x14ac:dyDescent="0.2">
      <c r="A288" s="9">
        <v>60</v>
      </c>
      <c r="B288" s="3" t="s">
        <v>2218</v>
      </c>
      <c r="C288" s="3" t="s">
        <v>2219</v>
      </c>
      <c r="D288" s="3" t="s">
        <v>2298</v>
      </c>
      <c r="E288" s="6">
        <v>44068.460335648146</v>
      </c>
      <c r="F288" s="3" t="s">
        <v>2276</v>
      </c>
      <c r="G288" s="6">
        <v>44068.460335648146</v>
      </c>
      <c r="H288" s="3" t="s">
        <v>2276</v>
      </c>
      <c r="I288" s="3" t="s">
        <v>170</v>
      </c>
      <c r="J288" s="3" t="s">
        <v>2090</v>
      </c>
    </row>
    <row r="289" spans="1:10" x14ac:dyDescent="0.2">
      <c r="A289" s="9">
        <v>59</v>
      </c>
      <c r="B289" s="3" t="s">
        <v>2238</v>
      </c>
      <c r="C289" s="3" t="s">
        <v>2239</v>
      </c>
      <c r="D289" s="3" t="s">
        <v>2298</v>
      </c>
      <c r="E289" s="6">
        <v>44068.460150462961</v>
      </c>
      <c r="F289" s="3" t="s">
        <v>2276</v>
      </c>
      <c r="G289" s="6">
        <v>44068.460150462961</v>
      </c>
      <c r="H289" s="3" t="s">
        <v>2276</v>
      </c>
      <c r="I289" s="3" t="s">
        <v>170</v>
      </c>
      <c r="J289" s="3" t="s">
        <v>2090</v>
      </c>
    </row>
    <row r="290" spans="1:10" x14ac:dyDescent="0.2">
      <c r="A290" s="9">
        <v>58</v>
      </c>
      <c r="B290" s="3" t="s">
        <v>2266</v>
      </c>
      <c r="C290" s="3" t="s">
        <v>2267</v>
      </c>
      <c r="D290" s="3" t="s">
        <v>2290</v>
      </c>
      <c r="E290" s="6">
        <v>44068.458958333336</v>
      </c>
      <c r="F290" s="3" t="s">
        <v>2276</v>
      </c>
      <c r="G290" s="6">
        <v>44068.458958333336</v>
      </c>
      <c r="H290" s="3" t="s">
        <v>2276</v>
      </c>
      <c r="I290" s="3" t="s">
        <v>170</v>
      </c>
      <c r="J290" s="3" t="s">
        <v>2090</v>
      </c>
    </row>
    <row r="291" spans="1:10" x14ac:dyDescent="0.2">
      <c r="A291" s="9">
        <v>57</v>
      </c>
      <c r="B291" s="3" t="s">
        <v>32</v>
      </c>
      <c r="C291" s="3" t="s">
        <v>2135</v>
      </c>
      <c r="D291" s="3" t="s">
        <v>2290</v>
      </c>
      <c r="E291" s="6">
        <v>44068.458773148152</v>
      </c>
      <c r="F291" s="3" t="s">
        <v>2276</v>
      </c>
      <c r="G291" s="6">
        <v>44068.458773148152</v>
      </c>
      <c r="H291" s="3" t="s">
        <v>2276</v>
      </c>
      <c r="I291" s="3" t="s">
        <v>170</v>
      </c>
      <c r="J291" s="3" t="s">
        <v>2090</v>
      </c>
    </row>
    <row r="292" spans="1:10" x14ac:dyDescent="0.2">
      <c r="A292" s="9">
        <v>56</v>
      </c>
      <c r="B292" s="3" t="s">
        <v>35</v>
      </c>
      <c r="C292" s="3" t="s">
        <v>2141</v>
      </c>
      <c r="D292" s="3" t="s">
        <v>2290</v>
      </c>
      <c r="E292" s="6">
        <v>44068.458622685182</v>
      </c>
      <c r="F292" s="3" t="s">
        <v>2276</v>
      </c>
      <c r="G292" s="6">
        <v>44068.458622685182</v>
      </c>
      <c r="H292" s="3" t="s">
        <v>2276</v>
      </c>
      <c r="I292" s="3" t="s">
        <v>170</v>
      </c>
      <c r="J292" s="3" t="s">
        <v>2090</v>
      </c>
    </row>
    <row r="293" spans="1:10" x14ac:dyDescent="0.2">
      <c r="A293" s="9">
        <v>55</v>
      </c>
      <c r="B293" s="3" t="s">
        <v>2142</v>
      </c>
      <c r="C293" s="3" t="s">
        <v>2143</v>
      </c>
      <c r="D293" s="3" t="s">
        <v>2290</v>
      </c>
      <c r="E293" s="6">
        <v>44068.458495370367</v>
      </c>
      <c r="F293" s="3" t="s">
        <v>2276</v>
      </c>
      <c r="G293" s="6">
        <v>44068.458495370367</v>
      </c>
      <c r="H293" s="3" t="s">
        <v>2276</v>
      </c>
      <c r="I293" s="3" t="s">
        <v>170</v>
      </c>
      <c r="J293" s="3" t="s">
        <v>2090</v>
      </c>
    </row>
    <row r="294" spans="1:10" x14ac:dyDescent="0.2">
      <c r="A294" s="9">
        <v>54</v>
      </c>
      <c r="B294" s="3" t="s">
        <v>2278</v>
      </c>
      <c r="C294" s="3" t="s">
        <v>2279</v>
      </c>
      <c r="D294" s="3" t="s">
        <v>2290</v>
      </c>
      <c r="E294" s="6">
        <v>44068.458287037036</v>
      </c>
      <c r="F294" s="3" t="s">
        <v>2276</v>
      </c>
      <c r="G294" s="6">
        <v>44068.458287037036</v>
      </c>
      <c r="H294" s="3" t="s">
        <v>2276</v>
      </c>
      <c r="I294" s="3" t="s">
        <v>170</v>
      </c>
      <c r="J294" s="3" t="s">
        <v>2090</v>
      </c>
    </row>
    <row r="295" spans="1:10" x14ac:dyDescent="0.2">
      <c r="A295" s="9">
        <v>53</v>
      </c>
      <c r="B295" s="3" t="s">
        <v>2200</v>
      </c>
      <c r="C295" s="3" t="s">
        <v>2201</v>
      </c>
      <c r="D295" s="3" t="s">
        <v>2290</v>
      </c>
      <c r="E295" s="6">
        <v>44068.458090277774</v>
      </c>
      <c r="F295" s="3" t="s">
        <v>2276</v>
      </c>
      <c r="G295" s="6">
        <v>44068.458090277774</v>
      </c>
      <c r="H295" s="3" t="s">
        <v>2276</v>
      </c>
      <c r="I295" s="3" t="s">
        <v>170</v>
      </c>
      <c r="J295" s="3" t="s">
        <v>2090</v>
      </c>
    </row>
    <row r="296" spans="1:10" x14ac:dyDescent="0.2">
      <c r="A296" s="9">
        <v>52</v>
      </c>
      <c r="B296" s="3" t="s">
        <v>2147</v>
      </c>
      <c r="C296" s="3" t="s">
        <v>2148</v>
      </c>
      <c r="D296" s="3" t="s">
        <v>2290</v>
      </c>
      <c r="E296" s="6">
        <v>44068.457905092589</v>
      </c>
      <c r="F296" s="3" t="s">
        <v>2276</v>
      </c>
      <c r="G296" s="6">
        <v>44068.457905092589</v>
      </c>
      <c r="H296" s="3" t="s">
        <v>2276</v>
      </c>
      <c r="I296" s="3" t="s">
        <v>170</v>
      </c>
      <c r="J296" s="3" t="s">
        <v>2090</v>
      </c>
    </row>
    <row r="297" spans="1:10" x14ac:dyDescent="0.2">
      <c r="A297" s="9">
        <v>51</v>
      </c>
      <c r="B297" s="3" t="s">
        <v>2198</v>
      </c>
      <c r="C297" s="3" t="s">
        <v>2199</v>
      </c>
      <c r="D297" s="3" t="s">
        <v>2290</v>
      </c>
      <c r="E297" s="6">
        <v>44068.457777777781</v>
      </c>
      <c r="F297" s="3" t="s">
        <v>2276</v>
      </c>
      <c r="G297" s="6">
        <v>44068.457777777781</v>
      </c>
      <c r="H297" s="3" t="s">
        <v>2276</v>
      </c>
      <c r="I297" s="3" t="s">
        <v>170</v>
      </c>
      <c r="J297" s="3" t="s">
        <v>2090</v>
      </c>
    </row>
    <row r="298" spans="1:10" x14ac:dyDescent="0.2">
      <c r="A298" s="9">
        <v>50</v>
      </c>
      <c r="B298" s="3" t="s">
        <v>2198</v>
      </c>
      <c r="C298" s="3" t="s">
        <v>2199</v>
      </c>
      <c r="D298" s="3" t="s">
        <v>2290</v>
      </c>
      <c r="E298" s="6">
        <v>44068.456076388888</v>
      </c>
      <c r="F298" s="3" t="s">
        <v>2276</v>
      </c>
      <c r="G298" s="6">
        <v>44068.456076388888</v>
      </c>
      <c r="H298" s="3" t="s">
        <v>2276</v>
      </c>
      <c r="I298" s="3" t="s">
        <v>170</v>
      </c>
      <c r="J298" s="3" t="s">
        <v>2090</v>
      </c>
    </row>
    <row r="299" spans="1:10" x14ac:dyDescent="0.2">
      <c r="A299" s="9">
        <v>49</v>
      </c>
      <c r="B299" s="3" t="s">
        <v>2268</v>
      </c>
      <c r="C299" s="3" t="s">
        <v>2269</v>
      </c>
      <c r="D299" s="3" t="s">
        <v>2290</v>
      </c>
      <c r="E299" s="6">
        <v>44068.455937500003</v>
      </c>
      <c r="F299" s="3" t="s">
        <v>2276</v>
      </c>
      <c r="G299" s="6">
        <v>44068.455937500003</v>
      </c>
      <c r="H299" s="3" t="s">
        <v>2276</v>
      </c>
      <c r="I299" s="3" t="s">
        <v>170</v>
      </c>
      <c r="J299" s="3" t="s">
        <v>2090</v>
      </c>
    </row>
    <row r="300" spans="1:10" x14ac:dyDescent="0.2">
      <c r="A300" s="9">
        <v>48</v>
      </c>
      <c r="B300" s="3" t="s">
        <v>2240</v>
      </c>
      <c r="C300" s="3" t="s">
        <v>2241</v>
      </c>
      <c r="D300" s="3" t="s">
        <v>2290</v>
      </c>
      <c r="E300" s="6">
        <v>44068.455729166664</v>
      </c>
      <c r="F300" s="3" t="s">
        <v>2276</v>
      </c>
      <c r="G300" s="6">
        <v>44068.455729166664</v>
      </c>
      <c r="H300" s="3" t="s">
        <v>2276</v>
      </c>
      <c r="I300" s="3" t="s">
        <v>170</v>
      </c>
      <c r="J300" s="3" t="s">
        <v>2090</v>
      </c>
    </row>
    <row r="301" spans="1:10" x14ac:dyDescent="0.2">
      <c r="A301" s="9">
        <v>47</v>
      </c>
      <c r="B301" s="3" t="s">
        <v>2153</v>
      </c>
      <c r="C301" s="3" t="s">
        <v>2154</v>
      </c>
      <c r="D301" s="3" t="s">
        <v>2211</v>
      </c>
      <c r="E301" s="6">
        <v>44068.454675925925</v>
      </c>
      <c r="F301" s="3" t="s">
        <v>2276</v>
      </c>
      <c r="G301" s="6">
        <v>44068.454675925925</v>
      </c>
      <c r="H301" s="3" t="s">
        <v>2276</v>
      </c>
      <c r="I301" s="3" t="s">
        <v>170</v>
      </c>
      <c r="J301" s="3" t="s">
        <v>2090</v>
      </c>
    </row>
    <row r="302" spans="1:10" x14ac:dyDescent="0.2">
      <c r="A302" s="9">
        <v>46</v>
      </c>
      <c r="B302" s="3" t="s">
        <v>34</v>
      </c>
      <c r="C302" s="3" t="s">
        <v>2140</v>
      </c>
      <c r="D302" s="3" t="s">
        <v>2211</v>
      </c>
      <c r="E302" s="6">
        <v>44068.45412037037</v>
      </c>
      <c r="F302" s="3" t="s">
        <v>2276</v>
      </c>
      <c r="G302" s="6">
        <v>44068.45412037037</v>
      </c>
      <c r="H302" s="3" t="s">
        <v>2276</v>
      </c>
      <c r="I302" s="3" t="s">
        <v>170</v>
      </c>
      <c r="J302" s="3" t="s">
        <v>2090</v>
      </c>
    </row>
    <row r="303" spans="1:10" x14ac:dyDescent="0.2">
      <c r="A303" s="9">
        <v>45</v>
      </c>
      <c r="B303" s="3" t="s">
        <v>2223</v>
      </c>
      <c r="C303" s="3" t="s">
        <v>2224</v>
      </c>
      <c r="D303" s="3" t="s">
        <v>2293</v>
      </c>
      <c r="E303" s="6">
        <v>44068.453229166669</v>
      </c>
      <c r="F303" s="3" t="s">
        <v>2276</v>
      </c>
      <c r="G303" s="6">
        <v>44068.453229166669</v>
      </c>
      <c r="H303" s="3" t="s">
        <v>2276</v>
      </c>
      <c r="I303" s="3" t="s">
        <v>170</v>
      </c>
      <c r="J303" s="3" t="s">
        <v>2090</v>
      </c>
    </row>
    <row r="304" spans="1:10" x14ac:dyDescent="0.2">
      <c r="A304" s="9">
        <v>44</v>
      </c>
      <c r="B304" s="3" t="s">
        <v>2129</v>
      </c>
      <c r="C304" s="3" t="s">
        <v>2130</v>
      </c>
      <c r="D304" s="3" t="s">
        <v>2293</v>
      </c>
      <c r="E304" s="6">
        <v>44068.453043981484</v>
      </c>
      <c r="F304" s="3" t="s">
        <v>2276</v>
      </c>
      <c r="G304" s="6">
        <v>44068.453043981484</v>
      </c>
      <c r="H304" s="3" t="s">
        <v>2276</v>
      </c>
      <c r="I304" s="3" t="s">
        <v>170</v>
      </c>
      <c r="J304" s="3" t="s">
        <v>2090</v>
      </c>
    </row>
    <row r="305" spans="1:10" x14ac:dyDescent="0.2">
      <c r="A305" s="9">
        <v>43</v>
      </c>
      <c r="B305" s="3" t="s">
        <v>2127</v>
      </c>
      <c r="C305" s="3" t="s">
        <v>2128</v>
      </c>
      <c r="D305" s="3" t="s">
        <v>2293</v>
      </c>
      <c r="E305" s="6">
        <v>44068.452534722222</v>
      </c>
      <c r="F305" s="3" t="s">
        <v>2276</v>
      </c>
      <c r="G305" s="6">
        <v>44068.452534722222</v>
      </c>
      <c r="H305" s="3" t="s">
        <v>2276</v>
      </c>
      <c r="I305" s="3" t="s">
        <v>170</v>
      </c>
      <c r="J305" s="3" t="s">
        <v>2090</v>
      </c>
    </row>
    <row r="306" spans="1:10" x14ac:dyDescent="0.2">
      <c r="A306" s="9">
        <v>42</v>
      </c>
      <c r="B306" s="3" t="s">
        <v>2157</v>
      </c>
      <c r="C306" s="3" t="s">
        <v>36</v>
      </c>
      <c r="D306" s="3" t="s">
        <v>2293</v>
      </c>
      <c r="E306" s="6">
        <v>44068.45239583333</v>
      </c>
      <c r="F306" s="3" t="s">
        <v>2276</v>
      </c>
      <c r="G306" s="6">
        <v>44068.45239583333</v>
      </c>
      <c r="H306" s="3" t="s">
        <v>2276</v>
      </c>
      <c r="I306" s="3" t="s">
        <v>170</v>
      </c>
      <c r="J306" s="3" t="s">
        <v>2090</v>
      </c>
    </row>
    <row r="307" spans="1:10" x14ac:dyDescent="0.2">
      <c r="A307" s="9">
        <v>41</v>
      </c>
      <c r="B307" s="3" t="s">
        <v>2158</v>
      </c>
      <c r="C307" s="3" t="s">
        <v>2159</v>
      </c>
      <c r="D307" s="3" t="s">
        <v>2293</v>
      </c>
      <c r="E307" s="6">
        <v>44068.452233796299</v>
      </c>
      <c r="F307" s="3" t="s">
        <v>2276</v>
      </c>
      <c r="G307" s="6">
        <v>44068.452233796299</v>
      </c>
      <c r="H307" s="3" t="s">
        <v>2276</v>
      </c>
      <c r="I307" s="3" t="s">
        <v>170</v>
      </c>
      <c r="J307" s="3" t="s">
        <v>2090</v>
      </c>
    </row>
    <row r="308" spans="1:10" x14ac:dyDescent="0.2">
      <c r="A308" s="9">
        <v>40</v>
      </c>
      <c r="B308" s="3" t="s">
        <v>2160</v>
      </c>
      <c r="C308" s="3" t="s">
        <v>2161</v>
      </c>
      <c r="D308" s="3" t="s">
        <v>2293</v>
      </c>
      <c r="E308" s="6">
        <v>44068.452106481483</v>
      </c>
      <c r="F308" s="3" t="s">
        <v>2276</v>
      </c>
      <c r="G308" s="6">
        <v>44068.452106481483</v>
      </c>
      <c r="H308" s="3" t="s">
        <v>2276</v>
      </c>
      <c r="I308" s="3" t="s">
        <v>170</v>
      </c>
      <c r="J308" s="3" t="s">
        <v>2090</v>
      </c>
    </row>
    <row r="309" spans="1:10" x14ac:dyDescent="0.2">
      <c r="A309" s="9">
        <v>39</v>
      </c>
      <c r="B309" s="3" t="s">
        <v>2262</v>
      </c>
      <c r="C309" s="3" t="s">
        <v>2263</v>
      </c>
      <c r="D309" s="3" t="s">
        <v>2293</v>
      </c>
      <c r="E309" s="6">
        <v>44068.451967592591</v>
      </c>
      <c r="F309" s="3" t="s">
        <v>2276</v>
      </c>
      <c r="G309" s="6">
        <v>44068.451967592591</v>
      </c>
      <c r="H309" s="3" t="s">
        <v>2276</v>
      </c>
      <c r="I309" s="3" t="s">
        <v>170</v>
      </c>
      <c r="J309" s="3" t="s">
        <v>2090</v>
      </c>
    </row>
    <row r="310" spans="1:10" x14ac:dyDescent="0.2">
      <c r="A310" s="9">
        <v>38</v>
      </c>
      <c r="B310" s="3" t="s">
        <v>2258</v>
      </c>
      <c r="C310" s="3" t="s">
        <v>2259</v>
      </c>
      <c r="D310" s="3" t="s">
        <v>2174</v>
      </c>
      <c r="E310" s="6">
        <v>44068.451354166667</v>
      </c>
      <c r="F310" s="3" t="s">
        <v>2276</v>
      </c>
      <c r="G310" s="6">
        <v>44068.451354166667</v>
      </c>
      <c r="H310" s="3" t="s">
        <v>2276</v>
      </c>
      <c r="I310" s="3" t="s">
        <v>170</v>
      </c>
      <c r="J310" s="3" t="s">
        <v>2090</v>
      </c>
    </row>
    <row r="311" spans="1:10" x14ac:dyDescent="0.2">
      <c r="A311" s="9">
        <v>37</v>
      </c>
      <c r="B311" s="3" t="s">
        <v>2237</v>
      </c>
      <c r="C311" s="3" t="s">
        <v>39</v>
      </c>
      <c r="D311" s="3" t="s">
        <v>2289</v>
      </c>
      <c r="E311" s="6">
        <v>44068.450486111113</v>
      </c>
      <c r="F311" s="3" t="s">
        <v>2276</v>
      </c>
      <c r="G311" s="6">
        <v>44068.450486111113</v>
      </c>
      <c r="H311" s="3" t="s">
        <v>2276</v>
      </c>
      <c r="I311" s="3" t="s">
        <v>170</v>
      </c>
      <c r="J311" s="3" t="s">
        <v>2090</v>
      </c>
    </row>
    <row r="312" spans="1:10" x14ac:dyDescent="0.2">
      <c r="A312" s="9">
        <v>36</v>
      </c>
      <c r="B312" s="3" t="s">
        <v>2164</v>
      </c>
      <c r="C312" s="3" t="s">
        <v>2165</v>
      </c>
      <c r="D312" s="3" t="s">
        <v>2289</v>
      </c>
      <c r="E312" s="6">
        <v>44068.450185185182</v>
      </c>
      <c r="F312" s="3" t="s">
        <v>2276</v>
      </c>
      <c r="G312" s="6">
        <v>44068.450185185182</v>
      </c>
      <c r="H312" s="3" t="s">
        <v>2276</v>
      </c>
      <c r="I312" s="3" t="s">
        <v>170</v>
      </c>
      <c r="J312" s="3" t="s">
        <v>2090</v>
      </c>
    </row>
    <row r="313" spans="1:10" x14ac:dyDescent="0.2">
      <c r="A313" s="9">
        <v>35</v>
      </c>
      <c r="B313" s="3" t="s">
        <v>2264</v>
      </c>
      <c r="C313" s="3" t="s">
        <v>2265</v>
      </c>
      <c r="D313" s="3" t="s">
        <v>2289</v>
      </c>
      <c r="E313" s="6">
        <v>44068.45</v>
      </c>
      <c r="F313" s="3" t="s">
        <v>2276</v>
      </c>
      <c r="G313" s="6">
        <v>44068.45</v>
      </c>
      <c r="H313" s="3" t="s">
        <v>2276</v>
      </c>
      <c r="I313" s="3" t="s">
        <v>170</v>
      </c>
      <c r="J313" s="3" t="s">
        <v>2090</v>
      </c>
    </row>
    <row r="314" spans="1:10" x14ac:dyDescent="0.2">
      <c r="A314" s="9">
        <v>34</v>
      </c>
      <c r="B314" s="3" t="s">
        <v>2144</v>
      </c>
      <c r="C314" s="3" t="s">
        <v>2145</v>
      </c>
      <c r="D314" s="3" t="s">
        <v>2289</v>
      </c>
      <c r="E314" s="6">
        <v>44068.449814814812</v>
      </c>
      <c r="F314" s="3" t="s">
        <v>2276</v>
      </c>
      <c r="G314" s="6">
        <v>44068.449814814812</v>
      </c>
      <c r="H314" s="3" t="s">
        <v>2276</v>
      </c>
      <c r="I314" s="3" t="s">
        <v>170</v>
      </c>
      <c r="J314" s="3" t="s">
        <v>2090</v>
      </c>
    </row>
    <row r="315" spans="1:10" x14ac:dyDescent="0.2">
      <c r="A315" s="9">
        <v>33</v>
      </c>
      <c r="B315" s="3" t="s">
        <v>2190</v>
      </c>
      <c r="C315" s="3" t="s">
        <v>2191</v>
      </c>
      <c r="D315" s="3" t="s">
        <v>2289</v>
      </c>
      <c r="E315" s="6">
        <v>44068.449652777781</v>
      </c>
      <c r="F315" s="3" t="s">
        <v>2276</v>
      </c>
      <c r="G315" s="6">
        <v>44068.449652777781</v>
      </c>
      <c r="H315" s="3" t="s">
        <v>2276</v>
      </c>
      <c r="I315" s="3" t="s">
        <v>170</v>
      </c>
      <c r="J315" s="3" t="s">
        <v>2090</v>
      </c>
    </row>
    <row r="316" spans="1:10" x14ac:dyDescent="0.2">
      <c r="A316" s="9">
        <v>32</v>
      </c>
      <c r="B316" s="3" t="s">
        <v>2133</v>
      </c>
      <c r="C316" s="3" t="s">
        <v>2134</v>
      </c>
      <c r="D316" s="3" t="s">
        <v>2289</v>
      </c>
      <c r="E316" s="6">
        <v>44068.449074074073</v>
      </c>
      <c r="F316" s="3" t="s">
        <v>2276</v>
      </c>
      <c r="G316" s="6">
        <v>44068.449074074073</v>
      </c>
      <c r="H316" s="3" t="s">
        <v>2276</v>
      </c>
      <c r="I316" s="3" t="s">
        <v>170</v>
      </c>
      <c r="J316" s="3" t="s">
        <v>2090</v>
      </c>
    </row>
    <row r="317" spans="1:10" x14ac:dyDescent="0.2">
      <c r="A317" s="9">
        <v>31</v>
      </c>
      <c r="B317" s="3" t="s">
        <v>2260</v>
      </c>
      <c r="C317" s="3" t="s">
        <v>2261</v>
      </c>
      <c r="D317" s="3" t="s">
        <v>2289</v>
      </c>
      <c r="E317" s="6">
        <v>44068.448576388888</v>
      </c>
      <c r="F317" s="3" t="s">
        <v>2276</v>
      </c>
      <c r="G317" s="6">
        <v>44068.448576388888</v>
      </c>
      <c r="H317" s="3" t="s">
        <v>2276</v>
      </c>
      <c r="I317" s="3" t="s">
        <v>170</v>
      </c>
      <c r="J317" s="3" t="s">
        <v>2090</v>
      </c>
    </row>
    <row r="318" spans="1:10" x14ac:dyDescent="0.2">
      <c r="A318" s="9">
        <v>30</v>
      </c>
      <c r="B318" s="3" t="s">
        <v>2221</v>
      </c>
      <c r="C318" s="3" t="s">
        <v>2222</v>
      </c>
      <c r="D318" s="3" t="s">
        <v>2289</v>
      </c>
      <c r="E318" s="6">
        <v>44068.448368055557</v>
      </c>
      <c r="F318" s="3" t="s">
        <v>2276</v>
      </c>
      <c r="G318" s="6">
        <v>44068.448368055557</v>
      </c>
      <c r="H318" s="3" t="s">
        <v>2276</v>
      </c>
      <c r="I318" s="3" t="s">
        <v>170</v>
      </c>
      <c r="J318" s="3" t="s">
        <v>2090</v>
      </c>
    </row>
    <row r="319" spans="1:10" x14ac:dyDescent="0.2">
      <c r="A319" s="9">
        <v>29</v>
      </c>
      <c r="B319" s="3" t="s">
        <v>2221</v>
      </c>
      <c r="C319" s="3" t="s">
        <v>2222</v>
      </c>
      <c r="D319" s="3" t="s">
        <v>2289</v>
      </c>
      <c r="E319" s="6">
        <v>44068.448136574072</v>
      </c>
      <c r="F319" s="3" t="s">
        <v>2276</v>
      </c>
      <c r="G319" s="6">
        <v>44068.448136574072</v>
      </c>
      <c r="H319" s="3" t="s">
        <v>2276</v>
      </c>
      <c r="I319" s="3" t="s">
        <v>170</v>
      </c>
      <c r="J319" s="3" t="s">
        <v>2090</v>
      </c>
    </row>
    <row r="320" spans="1:10" x14ac:dyDescent="0.2">
      <c r="A320" s="9">
        <v>28</v>
      </c>
      <c r="B320" s="3" t="s">
        <v>2299</v>
      </c>
      <c r="C320" s="3" t="s">
        <v>2300</v>
      </c>
      <c r="D320" s="3" t="s">
        <v>2289</v>
      </c>
      <c r="E320" s="6">
        <v>44068.447974537034</v>
      </c>
      <c r="F320" s="3" t="s">
        <v>2276</v>
      </c>
      <c r="G320" s="6">
        <v>44068.447974537034</v>
      </c>
      <c r="H320" s="3" t="s">
        <v>2276</v>
      </c>
      <c r="I320" s="3" t="s">
        <v>170</v>
      </c>
      <c r="J320" s="3" t="s">
        <v>2090</v>
      </c>
    </row>
    <row r="321" spans="1:10" x14ac:dyDescent="0.2">
      <c r="A321" s="9">
        <v>27</v>
      </c>
      <c r="B321" s="3" t="s">
        <v>2162</v>
      </c>
      <c r="C321" s="3" t="s">
        <v>2163</v>
      </c>
      <c r="D321" s="3" t="s">
        <v>2289</v>
      </c>
      <c r="E321" s="6">
        <v>44068.447175925925</v>
      </c>
      <c r="F321" s="3" t="s">
        <v>2276</v>
      </c>
      <c r="G321" s="6">
        <v>44068.447175925925</v>
      </c>
      <c r="H321" s="3" t="s">
        <v>2276</v>
      </c>
      <c r="I321" s="3" t="s">
        <v>170</v>
      </c>
      <c r="J321" s="3" t="s">
        <v>2090</v>
      </c>
    </row>
    <row r="322" spans="1:10" x14ac:dyDescent="0.2">
      <c r="A322" s="9">
        <v>26</v>
      </c>
      <c r="B322" s="3" t="s">
        <v>2162</v>
      </c>
      <c r="C322" s="3" t="s">
        <v>2163</v>
      </c>
      <c r="D322" s="3" t="s">
        <v>2289</v>
      </c>
      <c r="E322" s="6">
        <v>44068.446840277778</v>
      </c>
      <c r="F322" s="3" t="s">
        <v>2276</v>
      </c>
      <c r="G322" s="6">
        <v>44068.446840277778</v>
      </c>
      <c r="H322" s="3" t="s">
        <v>2276</v>
      </c>
      <c r="I322" s="3" t="s">
        <v>170</v>
      </c>
      <c r="J322" s="3" t="s">
        <v>2090</v>
      </c>
    </row>
    <row r="323" spans="1:10" x14ac:dyDescent="0.2">
      <c r="A323" s="9">
        <v>25</v>
      </c>
      <c r="B323" s="3" t="s">
        <v>2172</v>
      </c>
      <c r="C323" s="3" t="s">
        <v>2173</v>
      </c>
      <c r="D323" s="3" t="s">
        <v>2174</v>
      </c>
      <c r="E323" s="6">
        <v>44067.618379629632</v>
      </c>
      <c r="F323" s="3" t="s">
        <v>2301</v>
      </c>
      <c r="G323" s="6">
        <v>44067.618379629632</v>
      </c>
      <c r="H323" s="3" t="s">
        <v>2301</v>
      </c>
      <c r="I323" s="3" t="s">
        <v>170</v>
      </c>
      <c r="J323" s="3" t="s">
        <v>2090</v>
      </c>
    </row>
    <row r="324" spans="1:10" x14ac:dyDescent="0.2">
      <c r="A324" s="9">
        <v>24</v>
      </c>
      <c r="B324" s="3" t="s">
        <v>2278</v>
      </c>
      <c r="C324" s="3" t="s">
        <v>2279</v>
      </c>
      <c r="D324" s="3" t="s">
        <v>2177</v>
      </c>
      <c r="E324" s="6">
        <v>44060.307430555556</v>
      </c>
      <c r="F324" s="3" t="s">
        <v>168</v>
      </c>
      <c r="G324" s="6">
        <v>44060.307430555556</v>
      </c>
      <c r="H324" s="3" t="s">
        <v>168</v>
      </c>
      <c r="I324" s="3" t="s">
        <v>170</v>
      </c>
      <c r="J324" s="3" t="s">
        <v>2090</v>
      </c>
    </row>
    <row r="325" spans="1:10" x14ac:dyDescent="0.2">
      <c r="A325" s="9">
        <v>23</v>
      </c>
      <c r="B325" s="3" t="s">
        <v>2175</v>
      </c>
      <c r="C325" s="3" t="s">
        <v>2176</v>
      </c>
      <c r="D325" s="3" t="s">
        <v>2177</v>
      </c>
      <c r="E325" s="6">
        <v>44060.306759259256</v>
      </c>
      <c r="F325" s="3" t="s">
        <v>168</v>
      </c>
      <c r="G325" s="6">
        <v>44063.338958333334</v>
      </c>
      <c r="H325" s="3" t="s">
        <v>168</v>
      </c>
      <c r="I325" s="3" t="s">
        <v>170</v>
      </c>
      <c r="J325" s="3" t="s">
        <v>2090</v>
      </c>
    </row>
    <row r="326" spans="1:10" x14ac:dyDescent="0.2">
      <c r="A326" s="9">
        <v>22</v>
      </c>
      <c r="B326" s="3" t="s">
        <v>2253</v>
      </c>
      <c r="C326" s="3" t="s">
        <v>2254</v>
      </c>
      <c r="D326" s="3" t="s">
        <v>2118</v>
      </c>
      <c r="E326" s="6">
        <v>44060.291365740741</v>
      </c>
      <c r="F326" s="3" t="s">
        <v>168</v>
      </c>
      <c r="G326" s="6">
        <v>44060.291365740741</v>
      </c>
      <c r="H326" s="3" t="s">
        <v>168</v>
      </c>
      <c r="I326" s="3" t="s">
        <v>170</v>
      </c>
      <c r="J326" s="3" t="s">
        <v>2090</v>
      </c>
    </row>
    <row r="327" spans="1:10" x14ac:dyDescent="0.2">
      <c r="A327" s="9">
        <v>21</v>
      </c>
      <c r="B327" s="3" t="s">
        <v>2172</v>
      </c>
      <c r="C327" s="3" t="s">
        <v>2173</v>
      </c>
      <c r="D327" s="3" t="s">
        <v>2118</v>
      </c>
      <c r="E327" s="6">
        <v>44060.291365740741</v>
      </c>
      <c r="F327" s="3" t="s">
        <v>168</v>
      </c>
      <c r="G327" s="6">
        <v>44060.291365740741</v>
      </c>
      <c r="H327" s="3" t="s">
        <v>168</v>
      </c>
      <c r="I327" s="3" t="s">
        <v>170</v>
      </c>
      <c r="J327" s="3" t="s">
        <v>2090</v>
      </c>
    </row>
    <row r="328" spans="1:10" x14ac:dyDescent="0.2">
      <c r="A328" s="9">
        <v>20</v>
      </c>
      <c r="B328" s="3" t="s">
        <v>2202</v>
      </c>
      <c r="C328" s="3" t="s">
        <v>2203</v>
      </c>
      <c r="D328" s="3" t="s">
        <v>2118</v>
      </c>
      <c r="E328" s="6">
        <v>44060.291354166664</v>
      </c>
      <c r="F328" s="3" t="s">
        <v>168</v>
      </c>
      <c r="G328" s="6">
        <v>44060.291354166664</v>
      </c>
      <c r="H328" s="3" t="s">
        <v>168</v>
      </c>
      <c r="I328" s="3" t="s">
        <v>170</v>
      </c>
      <c r="J328" s="3" t="s">
        <v>2090</v>
      </c>
    </row>
    <row r="329" spans="1:10" x14ac:dyDescent="0.2">
      <c r="A329" s="9">
        <v>19</v>
      </c>
      <c r="B329" s="3" t="s">
        <v>2270</v>
      </c>
      <c r="C329" s="3" t="s">
        <v>2271</v>
      </c>
      <c r="D329" s="3" t="s">
        <v>2118</v>
      </c>
      <c r="E329" s="6">
        <v>44060.291354166664</v>
      </c>
      <c r="F329" s="3" t="s">
        <v>168</v>
      </c>
      <c r="G329" s="6">
        <v>44060.291354166664</v>
      </c>
      <c r="H329" s="3" t="s">
        <v>168</v>
      </c>
      <c r="I329" s="3" t="s">
        <v>170</v>
      </c>
      <c r="J329" s="3" t="s">
        <v>2090</v>
      </c>
    </row>
    <row r="330" spans="1:10" x14ac:dyDescent="0.2">
      <c r="A330" s="9">
        <v>18</v>
      </c>
      <c r="B330" s="3" t="s">
        <v>2302</v>
      </c>
      <c r="C330" s="3" t="s">
        <v>2102</v>
      </c>
      <c r="D330" s="3" t="s">
        <v>2118</v>
      </c>
      <c r="E330" s="6">
        <v>44060.291342592594</v>
      </c>
      <c r="F330" s="3" t="s">
        <v>168</v>
      </c>
      <c r="G330" s="6">
        <v>44060.291342592594</v>
      </c>
      <c r="H330" s="3" t="s">
        <v>168</v>
      </c>
      <c r="I330" s="3" t="s">
        <v>170</v>
      </c>
      <c r="J330" s="3" t="s">
        <v>2090</v>
      </c>
    </row>
    <row r="331" spans="1:10" x14ac:dyDescent="0.2">
      <c r="A331" s="9">
        <v>17</v>
      </c>
      <c r="B331" s="3" t="s">
        <v>2303</v>
      </c>
      <c r="C331" s="3" t="s">
        <v>2105</v>
      </c>
      <c r="D331" s="3" t="s">
        <v>2118</v>
      </c>
      <c r="E331" s="6">
        <v>44060.291342592594</v>
      </c>
      <c r="F331" s="3" t="s">
        <v>168</v>
      </c>
      <c r="G331" s="6">
        <v>44060.291342592594</v>
      </c>
      <c r="H331" s="3" t="s">
        <v>168</v>
      </c>
      <c r="I331" s="3" t="s">
        <v>170</v>
      </c>
      <c r="J331" s="3" t="s">
        <v>2090</v>
      </c>
    </row>
    <row r="332" spans="1:10" x14ac:dyDescent="0.2">
      <c r="A332" s="9">
        <v>16</v>
      </c>
      <c r="B332" s="3" t="s">
        <v>2106</v>
      </c>
      <c r="C332" s="3" t="s">
        <v>2107</v>
      </c>
      <c r="D332" s="3" t="s">
        <v>2118</v>
      </c>
      <c r="E332" s="6">
        <v>44060.291342592594</v>
      </c>
      <c r="F332" s="3" t="s">
        <v>168</v>
      </c>
      <c r="G332" s="6">
        <v>44060.291342592594</v>
      </c>
      <c r="H332" s="3" t="s">
        <v>168</v>
      </c>
      <c r="I332" s="3" t="s">
        <v>170</v>
      </c>
      <c r="J332" s="3" t="s">
        <v>2090</v>
      </c>
    </row>
    <row r="333" spans="1:10" x14ac:dyDescent="0.2">
      <c r="A333" s="9">
        <v>15</v>
      </c>
      <c r="B333" s="3" t="s">
        <v>2108</v>
      </c>
      <c r="C333" s="3" t="s">
        <v>2109</v>
      </c>
      <c r="D333" s="3" t="s">
        <v>2118</v>
      </c>
      <c r="E333" s="6">
        <v>44060.291331018518</v>
      </c>
      <c r="F333" s="3" t="s">
        <v>168</v>
      </c>
      <c r="G333" s="6">
        <v>44060.291331018518</v>
      </c>
      <c r="H333" s="3" t="s">
        <v>168</v>
      </c>
      <c r="I333" s="3" t="s">
        <v>170</v>
      </c>
      <c r="J333" s="3" t="s">
        <v>2090</v>
      </c>
    </row>
    <row r="334" spans="1:10" x14ac:dyDescent="0.2">
      <c r="A334" s="9">
        <v>14</v>
      </c>
      <c r="B334" s="3" t="s">
        <v>2110</v>
      </c>
      <c r="C334" s="3" t="s">
        <v>2111</v>
      </c>
      <c r="D334" s="3" t="s">
        <v>2118</v>
      </c>
      <c r="E334" s="6">
        <v>44060.291331018518</v>
      </c>
      <c r="F334" s="3" t="s">
        <v>168</v>
      </c>
      <c r="G334" s="6">
        <v>44060.291331018518</v>
      </c>
      <c r="H334" s="3" t="s">
        <v>168</v>
      </c>
      <c r="I334" s="3" t="s">
        <v>170</v>
      </c>
      <c r="J334" s="3" t="s">
        <v>2090</v>
      </c>
    </row>
    <row r="335" spans="1:10" x14ac:dyDescent="0.2">
      <c r="A335" s="9">
        <v>13</v>
      </c>
      <c r="B335" s="3" t="s">
        <v>2114</v>
      </c>
      <c r="C335" s="3" t="s">
        <v>2115</v>
      </c>
      <c r="D335" s="3" t="s">
        <v>2118</v>
      </c>
      <c r="E335" s="6">
        <v>44060.291319444441</v>
      </c>
      <c r="F335" s="3" t="s">
        <v>168</v>
      </c>
      <c r="G335" s="6">
        <v>44060.291319444441</v>
      </c>
      <c r="H335" s="3" t="s">
        <v>168</v>
      </c>
      <c r="I335" s="3" t="s">
        <v>170</v>
      </c>
      <c r="J335" s="3" t="s">
        <v>2090</v>
      </c>
    </row>
    <row r="336" spans="1:10" x14ac:dyDescent="0.2">
      <c r="A336" s="9">
        <v>12</v>
      </c>
      <c r="B336" s="3" t="s">
        <v>2296</v>
      </c>
      <c r="C336" s="3" t="s">
        <v>2213</v>
      </c>
      <c r="D336" s="3" t="s">
        <v>2118</v>
      </c>
      <c r="E336" s="6">
        <v>44060.291319444441</v>
      </c>
      <c r="F336" s="3" t="s">
        <v>168</v>
      </c>
      <c r="G336" s="6">
        <v>44060.291319444441</v>
      </c>
      <c r="H336" s="3" t="s">
        <v>168</v>
      </c>
      <c r="I336" s="3" t="s">
        <v>170</v>
      </c>
      <c r="J336" s="3" t="s">
        <v>2090</v>
      </c>
    </row>
    <row r="337" spans="1:10" x14ac:dyDescent="0.2">
      <c r="A337" s="9">
        <v>11</v>
      </c>
      <c r="B337" s="3" t="s">
        <v>33</v>
      </c>
      <c r="C337" s="3" t="s">
        <v>2139</v>
      </c>
      <c r="D337" s="3" t="s">
        <v>2118</v>
      </c>
      <c r="E337" s="6">
        <v>44060.291319444441</v>
      </c>
      <c r="F337" s="3" t="s">
        <v>168</v>
      </c>
      <c r="G337" s="6">
        <v>44060.291319444441</v>
      </c>
      <c r="H337" s="3" t="s">
        <v>168</v>
      </c>
      <c r="I337" s="3" t="s">
        <v>170</v>
      </c>
      <c r="J337" s="3" t="s">
        <v>2090</v>
      </c>
    </row>
    <row r="338" spans="1:10" x14ac:dyDescent="0.2">
      <c r="A338" s="9">
        <v>10</v>
      </c>
      <c r="B338" s="3" t="s">
        <v>2151</v>
      </c>
      <c r="C338" s="3" t="s">
        <v>2152</v>
      </c>
      <c r="D338" s="3" t="s">
        <v>2118</v>
      </c>
      <c r="E338" s="6">
        <v>44060.291307870371</v>
      </c>
      <c r="F338" s="3" t="s">
        <v>168</v>
      </c>
      <c r="G338" s="6">
        <v>44060.291307870371</v>
      </c>
      <c r="H338" s="3" t="s">
        <v>168</v>
      </c>
      <c r="I338" s="3" t="s">
        <v>170</v>
      </c>
      <c r="J338" s="3" t="s">
        <v>2090</v>
      </c>
    </row>
    <row r="339" spans="1:10" x14ac:dyDescent="0.2">
      <c r="A339" s="9">
        <v>9</v>
      </c>
      <c r="B339" s="3" t="s">
        <v>2229</v>
      </c>
      <c r="C339" s="3" t="s">
        <v>2230</v>
      </c>
      <c r="D339" s="3" t="s">
        <v>2118</v>
      </c>
      <c r="E339" s="6">
        <v>44060.291307870371</v>
      </c>
      <c r="F339" s="3" t="s">
        <v>168</v>
      </c>
      <c r="G339" s="6">
        <v>44060.291307870371</v>
      </c>
      <c r="H339" s="3" t="s">
        <v>168</v>
      </c>
      <c r="I339" s="3" t="s">
        <v>170</v>
      </c>
      <c r="J339" s="3" t="s">
        <v>2090</v>
      </c>
    </row>
    <row r="340" spans="1:10" x14ac:dyDescent="0.2">
      <c r="A340" s="9">
        <v>8</v>
      </c>
      <c r="B340" s="3" t="s">
        <v>2231</v>
      </c>
      <c r="C340" s="3" t="s">
        <v>2232</v>
      </c>
      <c r="D340" s="3" t="s">
        <v>2118</v>
      </c>
      <c r="E340" s="6">
        <v>44060.291296296295</v>
      </c>
      <c r="F340" s="3" t="s">
        <v>168</v>
      </c>
      <c r="G340" s="6">
        <v>44060.291296296295</v>
      </c>
      <c r="H340" s="3" t="s">
        <v>168</v>
      </c>
      <c r="I340" s="3" t="s">
        <v>170</v>
      </c>
      <c r="J340" s="3" t="s">
        <v>2090</v>
      </c>
    </row>
    <row r="341" spans="1:10" x14ac:dyDescent="0.2">
      <c r="A341" s="9">
        <v>7</v>
      </c>
      <c r="B341" s="3" t="s">
        <v>2233</v>
      </c>
      <c r="C341" s="3" t="s">
        <v>2234</v>
      </c>
      <c r="D341" s="3" t="s">
        <v>2118</v>
      </c>
      <c r="E341" s="6">
        <v>44060.291296296295</v>
      </c>
      <c r="F341" s="3" t="s">
        <v>168</v>
      </c>
      <c r="G341" s="6">
        <v>44060.291296296295</v>
      </c>
      <c r="H341" s="3" t="s">
        <v>168</v>
      </c>
      <c r="I341" s="3" t="s">
        <v>170</v>
      </c>
      <c r="J341" s="3" t="s">
        <v>2090</v>
      </c>
    </row>
    <row r="342" spans="1:10" x14ac:dyDescent="0.2">
      <c r="A342" s="9">
        <v>6</v>
      </c>
      <c r="B342" s="3" t="s">
        <v>2235</v>
      </c>
      <c r="C342" s="3" t="s">
        <v>2236</v>
      </c>
      <c r="D342" s="3" t="s">
        <v>2118</v>
      </c>
      <c r="E342" s="6">
        <v>44060.291284722225</v>
      </c>
      <c r="F342" s="3" t="s">
        <v>168</v>
      </c>
      <c r="G342" s="6">
        <v>44060.291284722225</v>
      </c>
      <c r="H342" s="3" t="s">
        <v>168</v>
      </c>
      <c r="I342" s="3" t="s">
        <v>170</v>
      </c>
      <c r="J342" s="3" t="s">
        <v>2090</v>
      </c>
    </row>
    <row r="343" spans="1:10" x14ac:dyDescent="0.2">
      <c r="A343" s="9">
        <v>5</v>
      </c>
      <c r="B343" s="3" t="s">
        <v>2170</v>
      </c>
      <c r="C343" s="3" t="s">
        <v>2171</v>
      </c>
      <c r="D343" s="3" t="s">
        <v>2304</v>
      </c>
      <c r="E343" s="6">
        <v>44057.575902777775</v>
      </c>
      <c r="F343" s="3" t="s">
        <v>168</v>
      </c>
      <c r="G343" s="6">
        <v>44057.576203703706</v>
      </c>
      <c r="H343" s="3" t="s">
        <v>168</v>
      </c>
      <c r="I343" s="3" t="s">
        <v>170</v>
      </c>
      <c r="J343" s="3" t="s">
        <v>2090</v>
      </c>
    </row>
    <row r="344" spans="1:10" x14ac:dyDescent="0.2">
      <c r="A344" s="9">
        <v>4</v>
      </c>
      <c r="B344" s="3" t="s">
        <v>2253</v>
      </c>
      <c r="C344" s="3" t="s">
        <v>2254</v>
      </c>
      <c r="D344" s="3" t="s">
        <v>2305</v>
      </c>
      <c r="E344" s="6">
        <v>44057.379479166666</v>
      </c>
      <c r="F344" s="3" t="s">
        <v>168</v>
      </c>
      <c r="G344" s="6">
        <v>44057.379479166666</v>
      </c>
      <c r="H344" s="3" t="s">
        <v>168</v>
      </c>
      <c r="I344" s="3" t="s">
        <v>170</v>
      </c>
      <c r="J344" s="3" t="s">
        <v>2090</v>
      </c>
    </row>
    <row r="345" spans="1:10" x14ac:dyDescent="0.2">
      <c r="A345" s="9">
        <v>3</v>
      </c>
      <c r="B345" s="3" t="s">
        <v>2253</v>
      </c>
      <c r="C345" s="3" t="s">
        <v>2254</v>
      </c>
      <c r="D345" s="3" t="s">
        <v>2306</v>
      </c>
      <c r="E345" s="6">
        <v>44056.515625</v>
      </c>
      <c r="F345" s="3" t="s">
        <v>168</v>
      </c>
      <c r="G345" s="6">
        <v>44056.515625</v>
      </c>
      <c r="H345" s="3" t="s">
        <v>168</v>
      </c>
      <c r="I345" s="3" t="s">
        <v>170</v>
      </c>
      <c r="J345" s="3" t="s">
        <v>2090</v>
      </c>
    </row>
    <row r="346" spans="1:10" x14ac:dyDescent="0.2">
      <c r="A346" s="9">
        <v>2</v>
      </c>
      <c r="B346" s="3" t="s">
        <v>2253</v>
      </c>
      <c r="C346" s="3" t="s">
        <v>2254</v>
      </c>
      <c r="D346" s="3" t="s">
        <v>2177</v>
      </c>
      <c r="E346" s="6">
        <v>44056.488865740743</v>
      </c>
      <c r="F346" s="3" t="s">
        <v>168</v>
      </c>
      <c r="G346" s="6">
        <v>44056.488865740743</v>
      </c>
      <c r="H346" s="3" t="s">
        <v>168</v>
      </c>
      <c r="I346" s="3" t="s">
        <v>170</v>
      </c>
      <c r="J346" s="3" t="s">
        <v>2090</v>
      </c>
    </row>
    <row r="347" spans="1:10" x14ac:dyDescent="0.2">
      <c r="A347" s="9">
        <v>1</v>
      </c>
      <c r="B347" s="3" t="s">
        <v>2253</v>
      </c>
      <c r="C347" s="3" t="s">
        <v>2254</v>
      </c>
      <c r="D347" s="3" t="s">
        <v>2118</v>
      </c>
      <c r="E347" s="6">
        <v>44056.488645833335</v>
      </c>
      <c r="F347" s="3" t="s">
        <v>168</v>
      </c>
      <c r="G347" s="6">
        <v>44056.488645833335</v>
      </c>
      <c r="H347" s="3" t="s">
        <v>168</v>
      </c>
      <c r="I347" s="3" t="s">
        <v>170</v>
      </c>
      <c r="J347" s="3" t="s">
        <v>2090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F209"/>
  <sheetViews>
    <sheetView workbookViewId="0"/>
  </sheetViews>
  <sheetFormatPr baseColWidth="10" defaultRowHeight="15" x14ac:dyDescent="0.2"/>
  <cols>
    <col min="1" max="1" width="12.5" style="12" bestFit="1" customWidth="1"/>
    <col min="2" max="2" width="43.1640625" bestFit="1" customWidth="1"/>
    <col min="3" max="3" width="14.6640625" style="1" bestFit="1" customWidth="1"/>
    <col min="4" max="4" width="23.5" style="1" bestFit="1" customWidth="1"/>
    <col min="5" max="5" width="22.5" style="1" bestFit="1" customWidth="1"/>
    <col min="6" max="7" width="11.83203125" bestFit="1" customWidth="1"/>
  </cols>
  <sheetData>
    <row r="1" spans="1:6" x14ac:dyDescent="0.2">
      <c r="A1" s="12" t="s">
        <v>138</v>
      </c>
      <c r="B1" t="s">
        <v>1178</v>
      </c>
      <c r="C1" s="1" t="s">
        <v>2</v>
      </c>
      <c r="D1" s="1" t="s">
        <v>1341</v>
      </c>
      <c r="E1" s="1" t="s">
        <v>1342</v>
      </c>
      <c r="F1" t="s">
        <v>146</v>
      </c>
    </row>
    <row r="2" spans="1:6" x14ac:dyDescent="0.2">
      <c r="A2" s="12" t="s">
        <v>832</v>
      </c>
      <c r="B2" s="8" t="s">
        <v>1929</v>
      </c>
      <c r="C2" s="1">
        <v>5548529</v>
      </c>
      <c r="D2" s="11" t="s">
        <v>393</v>
      </c>
      <c r="E2" s="10">
        <v>44336</v>
      </c>
      <c r="F2" t="b">
        <v>1</v>
      </c>
    </row>
    <row r="3" spans="1:6" x14ac:dyDescent="0.2">
      <c r="A3" s="12" t="s">
        <v>598</v>
      </c>
      <c r="B3" s="8" t="s">
        <v>2048</v>
      </c>
      <c r="C3" s="1">
        <v>8096609568</v>
      </c>
      <c r="D3" s="11" t="s">
        <v>182</v>
      </c>
      <c r="E3" s="10">
        <v>44420</v>
      </c>
      <c r="F3" t="b">
        <v>1</v>
      </c>
    </row>
    <row r="4" spans="1:6" x14ac:dyDescent="0.2">
      <c r="A4" s="12" t="s">
        <v>1547</v>
      </c>
      <c r="B4" s="8" t="s">
        <v>1935</v>
      </c>
      <c r="C4" s="1">
        <v>7338982</v>
      </c>
      <c r="D4" s="11" t="s">
        <v>393</v>
      </c>
      <c r="E4" s="10">
        <v>44184</v>
      </c>
      <c r="F4" t="b">
        <v>1</v>
      </c>
    </row>
    <row r="5" spans="1:6" x14ac:dyDescent="0.2">
      <c r="A5" s="12" t="s">
        <v>792</v>
      </c>
      <c r="B5" s="8" t="s">
        <v>1270</v>
      </c>
      <c r="C5" s="1">
        <v>8099190931</v>
      </c>
      <c r="D5" s="11" t="s">
        <v>393</v>
      </c>
      <c r="E5" s="10">
        <v>44368</v>
      </c>
      <c r="F5" t="b">
        <v>1</v>
      </c>
    </row>
    <row r="6" spans="1:6" x14ac:dyDescent="0.2">
      <c r="A6" s="12" t="s">
        <v>1450</v>
      </c>
      <c r="B6" s="8" t="s">
        <v>1901</v>
      </c>
      <c r="C6" s="1">
        <v>3732194</v>
      </c>
      <c r="D6" s="11" t="s">
        <v>393</v>
      </c>
      <c r="E6" s="10">
        <v>43395</v>
      </c>
      <c r="F6" t="b">
        <v>1</v>
      </c>
    </row>
    <row r="7" spans="1:6" x14ac:dyDescent="0.2">
      <c r="A7" s="12" t="s">
        <v>1522</v>
      </c>
      <c r="B7" s="8" t="s">
        <v>1926</v>
      </c>
      <c r="C7" s="1">
        <v>9938653</v>
      </c>
      <c r="D7" s="11" t="s">
        <v>393</v>
      </c>
      <c r="E7" s="10">
        <v>40910</v>
      </c>
      <c r="F7" t="b">
        <v>1</v>
      </c>
    </row>
    <row r="8" spans="1:6" x14ac:dyDescent="0.2">
      <c r="A8" s="12" t="s">
        <v>1690</v>
      </c>
      <c r="B8" s="8" t="s">
        <v>1986</v>
      </c>
      <c r="C8" s="1">
        <v>7987245</v>
      </c>
      <c r="D8" s="11" t="s">
        <v>182</v>
      </c>
      <c r="E8" s="10">
        <v>43825</v>
      </c>
      <c r="F8" t="b">
        <v>1</v>
      </c>
    </row>
    <row r="9" spans="1:6" x14ac:dyDescent="0.2">
      <c r="A9" s="12" t="s">
        <v>879</v>
      </c>
      <c r="B9" s="8" t="s">
        <v>1285</v>
      </c>
      <c r="C9" s="1">
        <v>8499121829</v>
      </c>
      <c r="D9" s="11" t="s">
        <v>182</v>
      </c>
      <c r="E9" s="10">
        <v>44378</v>
      </c>
      <c r="F9" t="b">
        <v>0</v>
      </c>
    </row>
    <row r="10" spans="1:6" x14ac:dyDescent="0.2">
      <c r="A10" s="12" t="s">
        <v>198</v>
      </c>
      <c r="B10" s="8" t="s">
        <v>1882</v>
      </c>
      <c r="C10" s="1">
        <v>8299400114</v>
      </c>
      <c r="D10" s="11" t="s">
        <v>182</v>
      </c>
      <c r="E10" s="10">
        <v>44331</v>
      </c>
      <c r="F10" t="b">
        <v>1</v>
      </c>
    </row>
    <row r="11" spans="1:6" x14ac:dyDescent="0.2">
      <c r="A11" s="12" t="s">
        <v>1476</v>
      </c>
      <c r="B11" s="8" t="s">
        <v>1910</v>
      </c>
      <c r="C11" s="1">
        <v>8298201248</v>
      </c>
      <c r="D11" s="11" t="s">
        <v>393</v>
      </c>
      <c r="E11" s="10">
        <v>44319</v>
      </c>
      <c r="F11" t="b">
        <v>1</v>
      </c>
    </row>
    <row r="12" spans="1:6" x14ac:dyDescent="0.2">
      <c r="A12" s="12" t="s">
        <v>1718</v>
      </c>
      <c r="B12" s="8" t="s">
        <v>1996</v>
      </c>
      <c r="C12" s="1">
        <v>4616426</v>
      </c>
      <c r="D12" s="11" t="s">
        <v>182</v>
      </c>
      <c r="E12" s="10">
        <v>42752</v>
      </c>
      <c r="F12" t="b">
        <v>1</v>
      </c>
    </row>
    <row r="13" spans="1:6" x14ac:dyDescent="0.2">
      <c r="A13" s="12" t="s">
        <v>873</v>
      </c>
      <c r="B13" s="8" t="s">
        <v>1284</v>
      </c>
      <c r="C13" s="1">
        <v>8293968171</v>
      </c>
      <c r="D13" s="11" t="s">
        <v>393</v>
      </c>
      <c r="E13" s="10">
        <v>44470</v>
      </c>
      <c r="F13" t="b">
        <v>1</v>
      </c>
    </row>
    <row r="14" spans="1:6" x14ac:dyDescent="0.2">
      <c r="A14" s="12" t="s">
        <v>1811</v>
      </c>
      <c r="B14" s="8" t="s">
        <v>2028</v>
      </c>
      <c r="C14" s="1">
        <v>8297313640</v>
      </c>
      <c r="D14" s="11" t="s">
        <v>393</v>
      </c>
      <c r="E14" s="10">
        <v>44320</v>
      </c>
      <c r="F14" t="b">
        <v>1</v>
      </c>
    </row>
    <row r="15" spans="1:6" x14ac:dyDescent="0.2">
      <c r="A15" s="12" t="s">
        <v>1470</v>
      </c>
      <c r="B15" s="8" t="s">
        <v>1908</v>
      </c>
      <c r="C15" s="1">
        <v>4713596</v>
      </c>
      <c r="D15" s="11" t="s">
        <v>393</v>
      </c>
      <c r="E15" s="10">
        <v>43549</v>
      </c>
      <c r="F15" t="b">
        <v>1</v>
      </c>
    </row>
    <row r="16" spans="1:6" x14ac:dyDescent="0.2">
      <c r="A16" s="12" t="s">
        <v>1777</v>
      </c>
      <c r="B16" s="8" t="s">
        <v>2016</v>
      </c>
      <c r="C16" s="1">
        <v>8092842281</v>
      </c>
      <c r="D16" s="11" t="s">
        <v>182</v>
      </c>
      <c r="E16" s="10">
        <v>42430</v>
      </c>
      <c r="F16" t="b">
        <v>1</v>
      </c>
    </row>
    <row r="17" spans="1:6" x14ac:dyDescent="0.2">
      <c r="A17" s="12" t="s">
        <v>1624</v>
      </c>
      <c r="B17" s="8" t="s">
        <v>1963</v>
      </c>
      <c r="C17" s="1">
        <v>8097809983</v>
      </c>
      <c r="D17" s="11" t="s">
        <v>393</v>
      </c>
      <c r="E17" s="10">
        <v>44319</v>
      </c>
      <c r="F17" t="b">
        <v>1</v>
      </c>
    </row>
    <row r="18" spans="1:6" x14ac:dyDescent="0.2">
      <c r="A18" s="12" t="s">
        <v>1739</v>
      </c>
      <c r="B18" s="8" t="s">
        <v>2003</v>
      </c>
      <c r="C18" s="1">
        <v>8158217</v>
      </c>
      <c r="D18" s="11" t="s">
        <v>393</v>
      </c>
      <c r="E18" s="10">
        <v>43598</v>
      </c>
      <c r="F18" t="b">
        <v>1</v>
      </c>
    </row>
    <row r="19" spans="1:6" x14ac:dyDescent="0.2">
      <c r="A19" s="12" t="s">
        <v>1742</v>
      </c>
      <c r="B19" s="8" t="s">
        <v>2004</v>
      </c>
      <c r="C19" s="1">
        <v>3522216</v>
      </c>
      <c r="D19" s="11" t="s">
        <v>182</v>
      </c>
      <c r="E19" s="10">
        <v>43437</v>
      </c>
      <c r="F19" t="b">
        <v>1</v>
      </c>
    </row>
    <row r="20" spans="1:6" x14ac:dyDescent="0.2">
      <c r="A20" s="12" t="s">
        <v>222</v>
      </c>
      <c r="B20" s="8" t="s">
        <v>1875</v>
      </c>
      <c r="C20" s="1">
        <v>8295570950</v>
      </c>
      <c r="D20" s="11" t="s">
        <v>182</v>
      </c>
      <c r="E20" s="10">
        <v>44242</v>
      </c>
      <c r="F20" t="b">
        <v>1</v>
      </c>
    </row>
    <row r="21" spans="1:6" x14ac:dyDescent="0.2">
      <c r="A21" s="12" t="s">
        <v>1646</v>
      </c>
      <c r="B21" s="8" t="s">
        <v>1971</v>
      </c>
      <c r="C21" s="1">
        <v>8298525822</v>
      </c>
      <c r="D21" s="11" t="s">
        <v>393</v>
      </c>
      <c r="E21" s="10">
        <v>42780</v>
      </c>
      <c r="F21" t="b">
        <v>1</v>
      </c>
    </row>
    <row r="22" spans="1:6" x14ac:dyDescent="0.2">
      <c r="A22" s="12" t="s">
        <v>1389</v>
      </c>
      <c r="B22" s="8" t="s">
        <v>1879</v>
      </c>
      <c r="C22" s="1">
        <v>1592178</v>
      </c>
      <c r="D22" s="11" t="s">
        <v>393</v>
      </c>
      <c r="E22" s="10">
        <v>41792</v>
      </c>
      <c r="F22" t="b">
        <v>1</v>
      </c>
    </row>
    <row r="23" spans="1:6" x14ac:dyDescent="0.2">
      <c r="A23" s="12" t="s">
        <v>417</v>
      </c>
      <c r="B23" s="8" t="s">
        <v>1962</v>
      </c>
      <c r="C23" s="1">
        <v>8097191524</v>
      </c>
      <c r="D23" s="11" t="s">
        <v>393</v>
      </c>
      <c r="E23" s="10">
        <v>44378</v>
      </c>
      <c r="F23" t="b">
        <v>1</v>
      </c>
    </row>
    <row r="24" spans="1:6" x14ac:dyDescent="0.2">
      <c r="A24" s="12" t="s">
        <v>1538</v>
      </c>
      <c r="B24" s="8" t="s">
        <v>1932</v>
      </c>
      <c r="C24" s="1">
        <v>1263771</v>
      </c>
      <c r="D24" s="11" t="s">
        <v>1354</v>
      </c>
      <c r="E24" s="10">
        <v>43831</v>
      </c>
      <c r="F24" t="b">
        <v>1</v>
      </c>
    </row>
    <row r="25" spans="1:6" x14ac:dyDescent="0.2">
      <c r="A25" s="12" t="s">
        <v>1762</v>
      </c>
      <c r="B25" s="8" t="s">
        <v>2011</v>
      </c>
      <c r="C25" s="1">
        <v>7231418</v>
      </c>
      <c r="D25" s="11" t="s">
        <v>393</v>
      </c>
      <c r="E25" s="10">
        <v>43374</v>
      </c>
      <c r="F25" t="b">
        <v>1</v>
      </c>
    </row>
    <row r="26" spans="1:6" x14ac:dyDescent="0.2">
      <c r="A26" s="12" t="s">
        <v>1410</v>
      </c>
      <c r="B26" s="8" t="s">
        <v>1887</v>
      </c>
      <c r="C26" s="1">
        <v>9353846</v>
      </c>
      <c r="D26" s="11" t="s">
        <v>182</v>
      </c>
      <c r="E26" s="10">
        <v>41007</v>
      </c>
      <c r="F26" t="b">
        <v>1</v>
      </c>
    </row>
    <row r="27" spans="1:6" x14ac:dyDescent="0.2">
      <c r="A27" s="12" t="s">
        <v>1664</v>
      </c>
      <c r="B27" s="8" t="s">
        <v>1977</v>
      </c>
      <c r="C27" s="1">
        <v>8297420950</v>
      </c>
      <c r="D27" s="11" t="s">
        <v>393</v>
      </c>
      <c r="E27" s="10">
        <v>44348</v>
      </c>
      <c r="F27" t="b">
        <v>1</v>
      </c>
    </row>
    <row r="28" spans="1:6" x14ac:dyDescent="0.2">
      <c r="A28" s="12" t="s">
        <v>1525</v>
      </c>
      <c r="B28" s="8" t="s">
        <v>1927</v>
      </c>
      <c r="C28" s="1">
        <v>8292139143</v>
      </c>
      <c r="D28" s="11" t="s">
        <v>182</v>
      </c>
      <c r="E28" s="10">
        <v>43102</v>
      </c>
      <c r="F28" t="b">
        <v>1</v>
      </c>
    </row>
    <row r="29" spans="1:6" x14ac:dyDescent="0.2">
      <c r="A29" s="12" t="s">
        <v>1684</v>
      </c>
      <c r="B29" s="8" t="s">
        <v>1984</v>
      </c>
      <c r="C29" s="1">
        <v>4434736</v>
      </c>
      <c r="D29" s="11" t="s">
        <v>393</v>
      </c>
      <c r="E29" s="10">
        <v>44067</v>
      </c>
      <c r="F29" t="b">
        <v>1</v>
      </c>
    </row>
    <row r="30" spans="1:6" x14ac:dyDescent="0.2">
      <c r="A30" s="12" t="s">
        <v>1759</v>
      </c>
      <c r="B30" s="8" t="s">
        <v>2010</v>
      </c>
      <c r="C30" s="1">
        <v>8298686303</v>
      </c>
      <c r="D30" s="11" t="s">
        <v>182</v>
      </c>
      <c r="E30" s="10">
        <v>44354</v>
      </c>
      <c r="F30" t="b">
        <v>1</v>
      </c>
    </row>
    <row r="31" spans="1:6" x14ac:dyDescent="0.2">
      <c r="A31" s="12" t="s">
        <v>1467</v>
      </c>
      <c r="B31" s="8" t="s">
        <v>1907</v>
      </c>
      <c r="C31" s="1">
        <v>4898229</v>
      </c>
      <c r="D31" s="11" t="s">
        <v>393</v>
      </c>
      <c r="E31" s="10">
        <v>43374</v>
      </c>
      <c r="F31" t="b">
        <v>1</v>
      </c>
    </row>
    <row r="32" spans="1:6" x14ac:dyDescent="0.2">
      <c r="A32" s="12" t="s">
        <v>1435</v>
      </c>
      <c r="B32" s="8" t="s">
        <v>1896</v>
      </c>
      <c r="C32" s="1">
        <v>8295225518</v>
      </c>
      <c r="D32" s="11" t="s">
        <v>182</v>
      </c>
      <c r="E32" s="10">
        <v>43801</v>
      </c>
      <c r="F32" t="b">
        <v>1</v>
      </c>
    </row>
    <row r="33" spans="1:6" x14ac:dyDescent="0.2">
      <c r="A33" s="12" t="s">
        <v>1814</v>
      </c>
      <c r="B33" s="8" t="s">
        <v>2029</v>
      </c>
      <c r="C33" s="1">
        <v>5757342</v>
      </c>
      <c r="D33" s="11" t="s">
        <v>393</v>
      </c>
      <c r="E33" s="10">
        <v>44025</v>
      </c>
      <c r="F33" t="b">
        <v>1</v>
      </c>
    </row>
    <row r="34" spans="1:6" x14ac:dyDescent="0.2">
      <c r="A34" s="12" t="s">
        <v>1808</v>
      </c>
      <c r="B34" s="8" t="s">
        <v>2027</v>
      </c>
      <c r="C34" s="1">
        <v>9169459</v>
      </c>
      <c r="D34" s="11" t="s">
        <v>182</v>
      </c>
      <c r="E34" s="10">
        <v>43568</v>
      </c>
      <c r="F34" t="b">
        <v>1</v>
      </c>
    </row>
    <row r="35" spans="1:6" x14ac:dyDescent="0.2">
      <c r="A35" s="12" t="s">
        <v>1796</v>
      </c>
      <c r="B35" s="8" t="s">
        <v>2023</v>
      </c>
      <c r="C35" s="1">
        <v>1766781</v>
      </c>
      <c r="D35" s="11" t="s">
        <v>393</v>
      </c>
      <c r="E35" s="10">
        <v>43822</v>
      </c>
      <c r="F35" t="b">
        <v>1</v>
      </c>
    </row>
    <row r="36" spans="1:6" x14ac:dyDescent="0.2">
      <c r="A36" s="12" t="s">
        <v>1736</v>
      </c>
      <c r="B36" s="8" t="s">
        <v>2002</v>
      </c>
      <c r="C36" s="1">
        <v>4273797</v>
      </c>
      <c r="D36" s="11" t="s">
        <v>393</v>
      </c>
      <c r="E36" s="10">
        <v>43479</v>
      </c>
      <c r="F36" t="b">
        <v>1</v>
      </c>
    </row>
    <row r="37" spans="1:6" x14ac:dyDescent="0.2">
      <c r="A37" s="12" t="s">
        <v>1461</v>
      </c>
      <c r="B37" s="8" t="s">
        <v>1905</v>
      </c>
      <c r="C37" s="1">
        <v>3489434</v>
      </c>
      <c r="D37" s="11" t="s">
        <v>760</v>
      </c>
      <c r="E37" s="10">
        <v>39736</v>
      </c>
      <c r="F37" t="b">
        <v>1</v>
      </c>
    </row>
    <row r="38" spans="1:6" x14ac:dyDescent="0.2">
      <c r="A38" s="12" t="s">
        <v>228</v>
      </c>
      <c r="B38" s="8" t="s">
        <v>1182</v>
      </c>
      <c r="C38" s="1">
        <v>8298992467</v>
      </c>
      <c r="D38" s="11" t="s">
        <v>182</v>
      </c>
      <c r="E38" s="10">
        <v>44287</v>
      </c>
      <c r="F38" t="b">
        <v>1</v>
      </c>
    </row>
    <row r="39" spans="1:6" x14ac:dyDescent="0.2">
      <c r="A39" s="12" t="s">
        <v>428</v>
      </c>
      <c r="B39" s="8" t="s">
        <v>1889</v>
      </c>
      <c r="C39" s="1">
        <v>8098464322</v>
      </c>
      <c r="D39" s="11" t="s">
        <v>393</v>
      </c>
      <c r="E39" s="10">
        <v>44228</v>
      </c>
      <c r="F39" t="b">
        <v>1</v>
      </c>
    </row>
    <row r="40" spans="1:6" x14ac:dyDescent="0.2">
      <c r="A40" s="12" t="s">
        <v>1568</v>
      </c>
      <c r="B40" s="8" t="s">
        <v>1942</v>
      </c>
      <c r="C40" s="1">
        <v>8092370072</v>
      </c>
      <c r="D40" s="11" t="s">
        <v>393</v>
      </c>
      <c r="E40" s="10">
        <v>44348</v>
      </c>
      <c r="F40" t="b">
        <v>1</v>
      </c>
    </row>
    <row r="41" spans="1:6" x14ac:dyDescent="0.2">
      <c r="A41" s="12" t="s">
        <v>928</v>
      </c>
      <c r="B41" s="8" t="s">
        <v>1294</v>
      </c>
      <c r="C41" s="1">
        <v>8293803814</v>
      </c>
      <c r="D41" s="11" t="s">
        <v>393</v>
      </c>
      <c r="E41" s="10">
        <v>44422</v>
      </c>
      <c r="F41" t="b">
        <v>1</v>
      </c>
    </row>
    <row r="42" spans="1:6" x14ac:dyDescent="0.2">
      <c r="A42" s="12" t="s">
        <v>1565</v>
      </c>
      <c r="B42" s="8" t="s">
        <v>1941</v>
      </c>
      <c r="C42" s="1">
        <v>8098346245</v>
      </c>
      <c r="D42" s="11" t="s">
        <v>393</v>
      </c>
      <c r="E42" s="10">
        <v>44016</v>
      </c>
      <c r="F42" t="b">
        <v>1</v>
      </c>
    </row>
    <row r="43" spans="1:6" x14ac:dyDescent="0.2">
      <c r="A43" s="12" t="s">
        <v>669</v>
      </c>
      <c r="B43" s="8" t="s">
        <v>1251</v>
      </c>
      <c r="C43" s="1">
        <v>8296998292</v>
      </c>
      <c r="D43" s="11" t="s">
        <v>182</v>
      </c>
      <c r="E43" s="10">
        <v>44470</v>
      </c>
      <c r="F43" t="b">
        <v>1</v>
      </c>
    </row>
    <row r="44" spans="1:6" x14ac:dyDescent="0.2">
      <c r="A44" s="12" t="s">
        <v>1667</v>
      </c>
      <c r="B44" s="8" t="s">
        <v>1978</v>
      </c>
      <c r="C44" s="1">
        <v>9368785</v>
      </c>
      <c r="D44" s="11" t="s">
        <v>182</v>
      </c>
      <c r="E44" s="10">
        <v>40702</v>
      </c>
      <c r="F44" t="b">
        <v>1</v>
      </c>
    </row>
    <row r="45" spans="1:6" x14ac:dyDescent="0.2">
      <c r="A45" s="12" t="s">
        <v>1516</v>
      </c>
      <c r="B45" s="8" t="s">
        <v>1924</v>
      </c>
      <c r="C45" s="1">
        <v>3421919</v>
      </c>
      <c r="D45" s="11" t="s">
        <v>182</v>
      </c>
      <c r="E45" s="10">
        <v>42186</v>
      </c>
      <c r="F45" t="b">
        <v>1</v>
      </c>
    </row>
    <row r="46" spans="1:6" x14ac:dyDescent="0.2">
      <c r="A46" s="12" t="s">
        <v>1363</v>
      </c>
      <c r="B46" s="8" t="s">
        <v>1870</v>
      </c>
      <c r="C46" s="1">
        <v>1777386</v>
      </c>
      <c r="D46" s="11" t="s">
        <v>393</v>
      </c>
      <c r="E46" s="10">
        <v>42544</v>
      </c>
      <c r="F46" t="b">
        <v>1</v>
      </c>
    </row>
    <row r="47" spans="1:6" x14ac:dyDescent="0.2">
      <c r="A47" s="12" t="s">
        <v>434</v>
      </c>
      <c r="B47" s="8" t="s">
        <v>1994</v>
      </c>
      <c r="C47" s="1">
        <v>8097012272</v>
      </c>
      <c r="D47" s="11" t="s">
        <v>393</v>
      </c>
      <c r="E47" s="10">
        <v>44228</v>
      </c>
      <c r="F47" t="b">
        <v>1</v>
      </c>
    </row>
    <row r="48" spans="1:6" x14ac:dyDescent="0.2">
      <c r="A48" s="12" t="s">
        <v>247</v>
      </c>
      <c r="B48" s="8" t="s">
        <v>1184</v>
      </c>
      <c r="C48" s="1">
        <v>8097156276</v>
      </c>
      <c r="D48" s="11" t="s">
        <v>182</v>
      </c>
      <c r="E48" s="10">
        <v>44348</v>
      </c>
      <c r="F48" t="b">
        <v>1</v>
      </c>
    </row>
    <row r="49" spans="1:6" x14ac:dyDescent="0.2">
      <c r="A49" s="12" t="s">
        <v>1502</v>
      </c>
      <c r="B49" s="8" t="s">
        <v>1919</v>
      </c>
      <c r="C49" s="1">
        <v>4955349</v>
      </c>
      <c r="D49" s="11" t="s">
        <v>393</v>
      </c>
      <c r="E49" s="10">
        <v>43834</v>
      </c>
      <c r="F49" t="b">
        <v>1</v>
      </c>
    </row>
    <row r="50" spans="1:6" x14ac:dyDescent="0.2">
      <c r="A50" s="12" t="s">
        <v>889</v>
      </c>
      <c r="B50" s="8" t="s">
        <v>2614</v>
      </c>
      <c r="C50" s="1">
        <v>8099961173</v>
      </c>
      <c r="D50" s="11" t="s">
        <v>393</v>
      </c>
      <c r="E50" s="10">
        <v>44511</v>
      </c>
      <c r="F50" t="b">
        <v>1</v>
      </c>
    </row>
    <row r="51" spans="1:6" x14ac:dyDescent="0.2">
      <c r="A51" s="12" t="s">
        <v>1351</v>
      </c>
      <c r="B51" s="8" t="s">
        <v>1865</v>
      </c>
      <c r="C51" s="1">
        <v>5666356</v>
      </c>
      <c r="D51" s="11" t="s">
        <v>1354</v>
      </c>
      <c r="E51" s="10">
        <v>44116</v>
      </c>
      <c r="F51" t="b">
        <v>1</v>
      </c>
    </row>
    <row r="52" spans="1:6" x14ac:dyDescent="0.2">
      <c r="A52" s="12" t="s">
        <v>1805</v>
      </c>
      <c r="B52" s="8" t="s">
        <v>2026</v>
      </c>
      <c r="C52" s="1">
        <v>7267587</v>
      </c>
      <c r="D52" s="11" t="s">
        <v>393</v>
      </c>
      <c r="E52" s="10">
        <v>40910</v>
      </c>
      <c r="F52" t="b">
        <v>1</v>
      </c>
    </row>
    <row r="53" spans="1:6" x14ac:dyDescent="0.2">
      <c r="A53" s="12" t="s">
        <v>1550</v>
      </c>
      <c r="B53" s="8" t="s">
        <v>1936</v>
      </c>
      <c r="C53" s="1">
        <v>4876656</v>
      </c>
      <c r="D53" s="11" t="s">
        <v>182</v>
      </c>
      <c r="E53" s="10">
        <v>43760</v>
      </c>
      <c r="F53" t="b">
        <v>1</v>
      </c>
    </row>
    <row r="54" spans="1:6" x14ac:dyDescent="0.2">
      <c r="A54" s="12" t="s">
        <v>1344</v>
      </c>
      <c r="B54" s="8" t="s">
        <v>1863</v>
      </c>
      <c r="C54" s="1">
        <v>5885178</v>
      </c>
      <c r="D54" s="11" t="s">
        <v>760</v>
      </c>
      <c r="E54" s="10">
        <v>43923</v>
      </c>
      <c r="F54" t="b">
        <v>1</v>
      </c>
    </row>
    <row r="55" spans="1:6" x14ac:dyDescent="0.2">
      <c r="A55" s="12" t="s">
        <v>1514</v>
      </c>
      <c r="B55" s="8" t="s">
        <v>1923</v>
      </c>
      <c r="C55" s="1">
        <v>8292090996</v>
      </c>
      <c r="D55" s="11" t="s">
        <v>182</v>
      </c>
      <c r="E55" s="10">
        <v>44274</v>
      </c>
      <c r="F55" t="b">
        <v>1</v>
      </c>
    </row>
    <row r="56" spans="1:6" x14ac:dyDescent="0.2">
      <c r="A56" s="12" t="s">
        <v>1670</v>
      </c>
      <c r="B56" s="8" t="s">
        <v>1979</v>
      </c>
      <c r="C56" s="1">
        <v>9146773</v>
      </c>
      <c r="D56" s="11" t="s">
        <v>393</v>
      </c>
      <c r="E56" s="10">
        <v>42294</v>
      </c>
      <c r="F56" t="b">
        <v>1</v>
      </c>
    </row>
    <row r="57" spans="1:6" x14ac:dyDescent="0.2">
      <c r="A57" s="12" t="s">
        <v>1785</v>
      </c>
      <c r="B57" s="8" t="s">
        <v>2019</v>
      </c>
      <c r="C57" s="1">
        <v>5242618</v>
      </c>
      <c r="D57" s="11" t="s">
        <v>182</v>
      </c>
      <c r="E57" s="10">
        <v>42491</v>
      </c>
      <c r="F57" t="b">
        <v>1</v>
      </c>
    </row>
    <row r="58" spans="1:6" x14ac:dyDescent="0.2">
      <c r="A58" s="12" t="s">
        <v>547</v>
      </c>
      <c r="B58" s="8" t="s">
        <v>1866</v>
      </c>
      <c r="C58" s="1">
        <v>8292486682</v>
      </c>
      <c r="D58" s="11" t="s">
        <v>182</v>
      </c>
      <c r="E58" s="10">
        <v>44359</v>
      </c>
      <c r="F58" t="b">
        <v>1</v>
      </c>
    </row>
    <row r="59" spans="1:6" x14ac:dyDescent="0.2">
      <c r="A59" s="12" t="s">
        <v>1452</v>
      </c>
      <c r="B59" s="8" t="s">
        <v>1902</v>
      </c>
      <c r="C59" s="1">
        <v>8299591889</v>
      </c>
      <c r="D59" s="11" t="s">
        <v>393</v>
      </c>
      <c r="E59" s="10">
        <v>44172</v>
      </c>
      <c r="F59" t="b">
        <v>1</v>
      </c>
    </row>
    <row r="60" spans="1:6" x14ac:dyDescent="0.2">
      <c r="A60" s="12" t="s">
        <v>1771</v>
      </c>
      <c r="B60" s="8" t="s">
        <v>2014</v>
      </c>
      <c r="C60" s="1">
        <v>2962257</v>
      </c>
      <c r="D60" s="11" t="s">
        <v>393</v>
      </c>
      <c r="E60" s="10">
        <v>43830</v>
      </c>
      <c r="F60" t="b">
        <v>1</v>
      </c>
    </row>
    <row r="61" spans="1:6" x14ac:dyDescent="0.2">
      <c r="A61" s="12" t="s">
        <v>1639</v>
      </c>
      <c r="B61" s="8" t="s">
        <v>1968</v>
      </c>
      <c r="C61" s="1">
        <v>5583387</v>
      </c>
      <c r="D61" s="11" t="s">
        <v>393</v>
      </c>
      <c r="E61" s="10">
        <v>41135</v>
      </c>
      <c r="F61" t="b">
        <v>1</v>
      </c>
    </row>
    <row r="62" spans="1:6" x14ac:dyDescent="0.2">
      <c r="A62" s="12" t="s">
        <v>1608</v>
      </c>
      <c r="B62" s="8" t="s">
        <v>1957</v>
      </c>
      <c r="C62" s="1">
        <v>8092842282</v>
      </c>
      <c r="D62" s="11" t="s">
        <v>182</v>
      </c>
      <c r="E62" s="10">
        <v>43070</v>
      </c>
      <c r="F62" t="b">
        <v>1</v>
      </c>
    </row>
    <row r="63" spans="1:6" x14ac:dyDescent="0.2">
      <c r="A63" s="12" t="s">
        <v>821</v>
      </c>
      <c r="B63" s="8" t="s">
        <v>1869</v>
      </c>
      <c r="C63" s="1">
        <v>8293221551</v>
      </c>
      <c r="D63" s="11" t="s">
        <v>393</v>
      </c>
      <c r="E63" s="10">
        <v>44357</v>
      </c>
      <c r="F63" t="b">
        <v>1</v>
      </c>
    </row>
    <row r="64" spans="1:6" x14ac:dyDescent="0.2">
      <c r="A64" s="12" t="s">
        <v>1544</v>
      </c>
      <c r="B64" s="8" t="s">
        <v>1934</v>
      </c>
      <c r="C64" s="1">
        <v>8143172</v>
      </c>
      <c r="D64" s="11" t="s">
        <v>182</v>
      </c>
      <c r="E64" s="10">
        <v>43029</v>
      </c>
      <c r="F64" t="b">
        <v>1</v>
      </c>
    </row>
    <row r="65" spans="1:6" x14ac:dyDescent="0.2">
      <c r="A65" s="12" t="s">
        <v>1107</v>
      </c>
      <c r="B65" s="8" t="s">
        <v>1327</v>
      </c>
      <c r="C65" s="1">
        <v>8096176706</v>
      </c>
      <c r="D65" s="11" t="s">
        <v>393</v>
      </c>
      <c r="E65" s="10">
        <v>44502</v>
      </c>
      <c r="F65" t="b">
        <v>1</v>
      </c>
    </row>
    <row r="66" spans="1:6" x14ac:dyDescent="0.2">
      <c r="A66" s="12" t="s">
        <v>1753</v>
      </c>
      <c r="B66" s="8" t="s">
        <v>2008</v>
      </c>
      <c r="C66" s="1">
        <v>8299169586</v>
      </c>
      <c r="D66" s="11" t="s">
        <v>393</v>
      </c>
      <c r="E66" s="10">
        <v>44137</v>
      </c>
      <c r="F66" t="b">
        <v>1</v>
      </c>
    </row>
    <row r="67" spans="1:6" x14ac:dyDescent="0.2">
      <c r="A67" s="12" t="s">
        <v>1438</v>
      </c>
      <c r="B67" s="8" t="s">
        <v>1897</v>
      </c>
      <c r="C67" s="1">
        <v>1624573</v>
      </c>
      <c r="D67" s="11" t="s">
        <v>182</v>
      </c>
      <c r="E67" s="10">
        <v>41526</v>
      </c>
      <c r="F67" t="b">
        <v>1</v>
      </c>
    </row>
    <row r="68" spans="1:6" x14ac:dyDescent="0.2">
      <c r="A68" s="12" t="s">
        <v>1401</v>
      </c>
      <c r="B68" s="8" t="s">
        <v>1884</v>
      </c>
      <c r="C68" s="1">
        <v>8095027410</v>
      </c>
      <c r="D68" s="11" t="s">
        <v>182</v>
      </c>
      <c r="E68" s="10">
        <v>44166</v>
      </c>
      <c r="F68" t="b">
        <v>1</v>
      </c>
    </row>
    <row r="69" spans="1:6" x14ac:dyDescent="0.2">
      <c r="A69" s="12" t="s">
        <v>1730</v>
      </c>
      <c r="B69" s="8" t="s">
        <v>2000</v>
      </c>
      <c r="C69" s="1">
        <v>8299011523</v>
      </c>
      <c r="D69" s="11" t="s">
        <v>393</v>
      </c>
      <c r="E69" s="10">
        <v>44341</v>
      </c>
      <c r="F69" t="b">
        <v>1</v>
      </c>
    </row>
    <row r="70" spans="1:6" x14ac:dyDescent="0.2">
      <c r="A70" s="12" t="s">
        <v>1799</v>
      </c>
      <c r="B70" s="8" t="s">
        <v>2024</v>
      </c>
      <c r="C70" s="1">
        <v>8678457</v>
      </c>
      <c r="D70" s="11" t="s">
        <v>182</v>
      </c>
      <c r="E70" s="10">
        <v>43136</v>
      </c>
      <c r="F70" t="b">
        <v>1</v>
      </c>
    </row>
    <row r="71" spans="1:6" x14ac:dyDescent="0.2">
      <c r="A71" s="12" t="s">
        <v>1842</v>
      </c>
      <c r="B71" s="8" t="s">
        <v>2039</v>
      </c>
      <c r="C71" s="1">
        <v>8299659416</v>
      </c>
      <c r="D71" s="11" t="s">
        <v>393</v>
      </c>
      <c r="E71" s="10">
        <v>44036</v>
      </c>
      <c r="F71" t="b">
        <v>1</v>
      </c>
    </row>
    <row r="72" spans="1:6" x14ac:dyDescent="0.2">
      <c r="A72" s="12" t="s">
        <v>1366</v>
      </c>
      <c r="B72" s="8" t="s">
        <v>1871</v>
      </c>
      <c r="C72" s="1">
        <v>3561539</v>
      </c>
      <c r="D72" s="11" t="s">
        <v>182</v>
      </c>
      <c r="E72" s="10">
        <v>43619</v>
      </c>
      <c r="F72" t="b">
        <v>1</v>
      </c>
    </row>
    <row r="73" spans="1:6" x14ac:dyDescent="0.2">
      <c r="A73" s="12" t="s">
        <v>2407</v>
      </c>
      <c r="B73" s="8" t="s">
        <v>2483</v>
      </c>
      <c r="C73" s="1">
        <v>8298555511</v>
      </c>
      <c r="D73" s="11" t="s">
        <v>393</v>
      </c>
      <c r="E73" s="10">
        <v>44470</v>
      </c>
      <c r="F73" t="b">
        <v>1</v>
      </c>
    </row>
    <row r="74" spans="1:6" x14ac:dyDescent="0.2">
      <c r="A74" s="12" t="s">
        <v>1614</v>
      </c>
      <c r="B74" s="8" t="s">
        <v>1959</v>
      </c>
      <c r="C74" s="1">
        <v>3774986</v>
      </c>
      <c r="D74" s="11" t="s">
        <v>393</v>
      </c>
      <c r="E74" s="10">
        <v>43801</v>
      </c>
      <c r="F74" t="b">
        <v>1</v>
      </c>
    </row>
    <row r="75" spans="1:6" x14ac:dyDescent="0.2">
      <c r="A75" s="12" t="s">
        <v>1642</v>
      </c>
      <c r="B75" s="8" t="s">
        <v>1969</v>
      </c>
      <c r="C75" s="1">
        <v>6875222</v>
      </c>
      <c r="D75" s="11" t="s">
        <v>393</v>
      </c>
      <c r="E75" s="10">
        <v>44179</v>
      </c>
      <c r="F75" t="b">
        <v>1</v>
      </c>
    </row>
    <row r="76" spans="1:6" x14ac:dyDescent="0.2">
      <c r="A76" s="12" t="s">
        <v>540</v>
      </c>
      <c r="B76" s="8" t="s">
        <v>1883</v>
      </c>
      <c r="C76" s="1">
        <v>8296166727</v>
      </c>
      <c r="D76" s="11" t="s">
        <v>393</v>
      </c>
      <c r="E76" s="10">
        <v>44320</v>
      </c>
      <c r="F76" t="b">
        <v>1</v>
      </c>
    </row>
    <row r="77" spans="1:6" x14ac:dyDescent="0.2">
      <c r="A77" s="12" t="s">
        <v>1484</v>
      </c>
      <c r="B77" s="8" t="s">
        <v>1913</v>
      </c>
      <c r="C77" s="1">
        <v>2779216</v>
      </c>
      <c r="D77" s="11" t="s">
        <v>393</v>
      </c>
      <c r="E77" s="10">
        <v>43647</v>
      </c>
      <c r="F77" t="b">
        <v>1</v>
      </c>
    </row>
    <row r="78" spans="1:6" x14ac:dyDescent="0.2">
      <c r="A78" s="12" t="s">
        <v>1479</v>
      </c>
      <c r="B78" s="8" t="s">
        <v>1911</v>
      </c>
      <c r="C78" s="1">
        <v>8097130127</v>
      </c>
      <c r="D78" s="11" t="s">
        <v>393</v>
      </c>
      <c r="E78" s="10">
        <v>44137</v>
      </c>
      <c r="F78" t="b">
        <v>1</v>
      </c>
    </row>
    <row r="79" spans="1:6" x14ac:dyDescent="0.2">
      <c r="A79" s="12" t="s">
        <v>1649</v>
      </c>
      <c r="B79" s="8" t="s">
        <v>1972</v>
      </c>
      <c r="C79" s="1">
        <v>8098734772</v>
      </c>
      <c r="D79" s="11" t="s">
        <v>393</v>
      </c>
      <c r="E79" s="10">
        <v>44292</v>
      </c>
      <c r="F79" t="b">
        <v>1</v>
      </c>
    </row>
    <row r="80" spans="1:6" x14ac:dyDescent="0.2">
      <c r="A80" s="12" t="s">
        <v>1577</v>
      </c>
      <c r="B80" s="8" t="s">
        <v>1945</v>
      </c>
      <c r="C80" s="1">
        <v>3185126</v>
      </c>
      <c r="D80" s="11" t="s">
        <v>182</v>
      </c>
      <c r="E80" s="10">
        <v>43542</v>
      </c>
      <c r="F80" t="b">
        <v>1</v>
      </c>
    </row>
    <row r="81" spans="1:6" x14ac:dyDescent="0.2">
      <c r="A81" s="12" t="s">
        <v>1571</v>
      </c>
      <c r="B81" s="8" t="s">
        <v>1943</v>
      </c>
      <c r="C81" s="1">
        <v>6979352</v>
      </c>
      <c r="D81" s="11" t="s">
        <v>182</v>
      </c>
      <c r="E81" s="10">
        <v>42968</v>
      </c>
      <c r="F81" t="b">
        <v>1</v>
      </c>
    </row>
    <row r="82" spans="1:6" x14ac:dyDescent="0.2">
      <c r="A82" s="12" t="s">
        <v>712</v>
      </c>
      <c r="B82" s="8" t="s">
        <v>1260</v>
      </c>
      <c r="C82" s="1">
        <v>8292301362</v>
      </c>
      <c r="D82" s="11" t="s">
        <v>393</v>
      </c>
      <c r="E82" s="10">
        <v>44373</v>
      </c>
      <c r="F82" t="b">
        <v>1</v>
      </c>
    </row>
    <row r="83" spans="1:6" x14ac:dyDescent="0.2">
      <c r="A83" s="12" t="s">
        <v>1447</v>
      </c>
      <c r="B83" s="8" t="s">
        <v>1900</v>
      </c>
      <c r="C83" s="1">
        <v>3459632</v>
      </c>
      <c r="D83" s="11" t="s">
        <v>182</v>
      </c>
      <c r="E83" s="10">
        <v>41089</v>
      </c>
      <c r="F83" t="b">
        <v>1</v>
      </c>
    </row>
    <row r="84" spans="1:6" x14ac:dyDescent="0.2">
      <c r="A84" s="12" t="s">
        <v>1727</v>
      </c>
      <c r="B84" s="8" t="s">
        <v>1999</v>
      </c>
      <c r="C84" s="1">
        <v>8095677381</v>
      </c>
      <c r="D84" s="11" t="s">
        <v>393</v>
      </c>
      <c r="E84" s="10">
        <v>44116</v>
      </c>
      <c r="F84" t="b">
        <v>1</v>
      </c>
    </row>
    <row r="85" spans="1:6" x14ac:dyDescent="0.2">
      <c r="A85" s="12" t="s">
        <v>1559</v>
      </c>
      <c r="B85" s="8" t="s">
        <v>1939</v>
      </c>
      <c r="C85" s="1">
        <v>8492270214</v>
      </c>
      <c r="D85" s="11" t="s">
        <v>182</v>
      </c>
      <c r="E85" s="10">
        <v>44269</v>
      </c>
      <c r="F85" t="b">
        <v>1</v>
      </c>
    </row>
    <row r="86" spans="1:6" x14ac:dyDescent="0.2">
      <c r="A86" s="12" t="s">
        <v>1511</v>
      </c>
      <c r="B86" s="8" t="s">
        <v>1922</v>
      </c>
      <c r="C86" s="1">
        <v>8494509346</v>
      </c>
      <c r="D86" s="11" t="s">
        <v>182</v>
      </c>
      <c r="E86" s="10">
        <v>44127</v>
      </c>
      <c r="F86" t="b">
        <v>1</v>
      </c>
    </row>
    <row r="87" spans="1:6" x14ac:dyDescent="0.2">
      <c r="A87" s="12" t="s">
        <v>2334</v>
      </c>
      <c r="B87" s="8" t="s">
        <v>2371</v>
      </c>
      <c r="C87" s="1">
        <v>8297888024</v>
      </c>
      <c r="D87" s="11" t="s">
        <v>393</v>
      </c>
      <c r="E87" s="10">
        <v>44440</v>
      </c>
      <c r="F87" t="b">
        <v>1</v>
      </c>
    </row>
    <row r="88" spans="1:6" x14ac:dyDescent="0.2">
      <c r="A88" s="12" t="s">
        <v>584</v>
      </c>
      <c r="B88" s="8" t="s">
        <v>2372</v>
      </c>
      <c r="C88" s="1">
        <v>8096606250</v>
      </c>
      <c r="D88" s="11" t="s">
        <v>393</v>
      </c>
      <c r="E88" s="10">
        <v>44440</v>
      </c>
      <c r="F88" t="b">
        <v>1</v>
      </c>
    </row>
    <row r="89" spans="1:6" x14ac:dyDescent="0.2">
      <c r="A89" s="12" t="s">
        <v>1715</v>
      </c>
      <c r="B89" s="8" t="s">
        <v>1995</v>
      </c>
      <c r="C89" s="1">
        <v>8865973</v>
      </c>
      <c r="D89" s="11" t="s">
        <v>182</v>
      </c>
      <c r="E89" s="10">
        <v>43264</v>
      </c>
      <c r="F89" t="b">
        <v>1</v>
      </c>
    </row>
    <row r="90" spans="1:6" x14ac:dyDescent="0.2">
      <c r="A90" s="12" t="s">
        <v>1407</v>
      </c>
      <c r="B90" s="8" t="s">
        <v>1886</v>
      </c>
      <c r="C90" s="1">
        <v>2982829</v>
      </c>
      <c r="D90" s="11" t="s">
        <v>393</v>
      </c>
      <c r="E90" s="10">
        <v>43831</v>
      </c>
      <c r="F90" t="b">
        <v>1</v>
      </c>
    </row>
    <row r="91" spans="1:6" x14ac:dyDescent="0.2">
      <c r="A91" s="12" t="s">
        <v>572</v>
      </c>
      <c r="B91" s="8" t="s">
        <v>1952</v>
      </c>
      <c r="C91" s="1">
        <v>8099572305</v>
      </c>
      <c r="D91" s="11" t="s">
        <v>393</v>
      </c>
      <c r="E91" s="10">
        <v>44316</v>
      </c>
      <c r="F91" t="b">
        <v>1</v>
      </c>
    </row>
    <row r="92" spans="1:6" x14ac:dyDescent="0.2">
      <c r="A92" s="12" t="s">
        <v>1589</v>
      </c>
      <c r="B92" s="8" t="s">
        <v>1950</v>
      </c>
      <c r="C92" s="1">
        <v>8093630873</v>
      </c>
      <c r="D92" s="11" t="s">
        <v>393</v>
      </c>
      <c r="E92" s="10">
        <v>44032</v>
      </c>
      <c r="F92" t="b">
        <v>1</v>
      </c>
    </row>
    <row r="93" spans="1:6" x14ac:dyDescent="0.2">
      <c r="A93" s="12" t="s">
        <v>1519</v>
      </c>
      <c r="B93" s="8" t="s">
        <v>1925</v>
      </c>
      <c r="C93" s="1">
        <v>8299610905</v>
      </c>
      <c r="D93" s="11" t="s">
        <v>182</v>
      </c>
      <c r="E93" s="10">
        <v>41093</v>
      </c>
      <c r="F93" t="b">
        <v>1</v>
      </c>
    </row>
    <row r="94" spans="1:6" x14ac:dyDescent="0.2">
      <c r="A94" s="12" t="s">
        <v>1585</v>
      </c>
      <c r="B94" s="8" t="s">
        <v>1948</v>
      </c>
      <c r="C94" s="1">
        <v>8297872807</v>
      </c>
      <c r="D94" s="11" t="s">
        <v>182</v>
      </c>
      <c r="E94" s="10">
        <v>44042</v>
      </c>
      <c r="F94" t="b">
        <v>1</v>
      </c>
    </row>
    <row r="95" spans="1:6" x14ac:dyDescent="0.2">
      <c r="A95" s="12" t="s">
        <v>1672</v>
      </c>
      <c r="B95" s="8" t="s">
        <v>1980</v>
      </c>
      <c r="C95" s="1">
        <v>8589875</v>
      </c>
      <c r="D95" s="11" t="s">
        <v>182</v>
      </c>
      <c r="E95" s="10">
        <v>39473</v>
      </c>
      <c r="F95" t="b">
        <v>1</v>
      </c>
    </row>
    <row r="96" spans="1:6" x14ac:dyDescent="0.2">
      <c r="A96" s="12" t="s">
        <v>1380</v>
      </c>
      <c r="B96" s="8" t="s">
        <v>1876</v>
      </c>
      <c r="C96" s="1">
        <v>8095692227</v>
      </c>
      <c r="D96" s="11" t="s">
        <v>393</v>
      </c>
      <c r="E96" s="10">
        <v>44071</v>
      </c>
      <c r="F96" t="b">
        <v>1</v>
      </c>
    </row>
    <row r="97" spans="1:6" x14ac:dyDescent="0.2">
      <c r="A97" s="12" t="s">
        <v>1724</v>
      </c>
      <c r="B97" s="8" t="s">
        <v>1998</v>
      </c>
      <c r="C97" s="1">
        <v>4623478</v>
      </c>
      <c r="D97" s="11" t="s">
        <v>182</v>
      </c>
      <c r="E97" s="10">
        <v>43238</v>
      </c>
      <c r="F97" t="b">
        <v>1</v>
      </c>
    </row>
    <row r="98" spans="1:6" x14ac:dyDescent="0.2">
      <c r="A98" s="12" t="s">
        <v>1833</v>
      </c>
      <c r="B98" s="8" t="s">
        <v>2036</v>
      </c>
      <c r="C98" s="1">
        <v>8298360813</v>
      </c>
      <c r="D98" s="11" t="s">
        <v>393</v>
      </c>
      <c r="E98" s="10">
        <v>44299</v>
      </c>
      <c r="F98" t="b">
        <v>1</v>
      </c>
    </row>
    <row r="99" spans="1:6" x14ac:dyDescent="0.2">
      <c r="A99" s="12" t="s">
        <v>1733</v>
      </c>
      <c r="B99" s="8" t="s">
        <v>2001</v>
      </c>
      <c r="C99" s="1">
        <v>9499181</v>
      </c>
      <c r="D99" s="11" t="s">
        <v>393</v>
      </c>
      <c r="E99" s="10">
        <v>43501</v>
      </c>
      <c r="F99" t="b">
        <v>1</v>
      </c>
    </row>
    <row r="100" spans="1:6" x14ac:dyDescent="0.2">
      <c r="A100" s="12" t="s">
        <v>1790</v>
      </c>
      <c r="B100" s="8" t="s">
        <v>2021</v>
      </c>
      <c r="C100" s="1">
        <v>7367121</v>
      </c>
      <c r="D100" s="11" t="s">
        <v>760</v>
      </c>
      <c r="E100" s="10">
        <v>43339</v>
      </c>
      <c r="F100" t="b">
        <v>1</v>
      </c>
    </row>
    <row r="101" spans="1:6" x14ac:dyDescent="0.2">
      <c r="A101" s="12" t="s">
        <v>1661</v>
      </c>
      <c r="B101" s="8" t="s">
        <v>1976</v>
      </c>
      <c r="C101" s="1">
        <v>8095964199</v>
      </c>
      <c r="D101" s="11" t="s">
        <v>393</v>
      </c>
      <c r="E101" s="10">
        <v>44056</v>
      </c>
      <c r="F101" t="b">
        <v>1</v>
      </c>
    </row>
    <row r="102" spans="1:6" x14ac:dyDescent="0.2">
      <c r="A102" s="12" t="s">
        <v>1528</v>
      </c>
      <c r="B102" s="8" t="s">
        <v>1928</v>
      </c>
      <c r="C102" s="1">
        <v>8658347</v>
      </c>
      <c r="D102" s="11" t="s">
        <v>182</v>
      </c>
      <c r="E102" s="10">
        <v>43388</v>
      </c>
      <c r="F102" t="b">
        <v>1</v>
      </c>
    </row>
    <row r="103" spans="1:6" x14ac:dyDescent="0.2">
      <c r="A103" s="12" t="s">
        <v>1820</v>
      </c>
      <c r="B103" s="8" t="s">
        <v>2031</v>
      </c>
      <c r="C103" s="1">
        <v>8497204555</v>
      </c>
      <c r="D103" s="11" t="s">
        <v>393</v>
      </c>
      <c r="E103" s="10">
        <v>44116</v>
      </c>
      <c r="F103" t="b">
        <v>1</v>
      </c>
    </row>
    <row r="104" spans="1:6" x14ac:dyDescent="0.2">
      <c r="A104" s="12" t="s">
        <v>1580</v>
      </c>
      <c r="B104" s="8" t="s">
        <v>1946</v>
      </c>
      <c r="C104" s="1">
        <v>8295967601</v>
      </c>
      <c r="D104" s="11" t="s">
        <v>182</v>
      </c>
      <c r="E104" s="10">
        <v>44154</v>
      </c>
      <c r="F104" t="b">
        <v>1</v>
      </c>
    </row>
    <row r="105" spans="1:6" x14ac:dyDescent="0.2">
      <c r="A105" s="12" t="s">
        <v>1611</v>
      </c>
      <c r="B105" s="8" t="s">
        <v>1958</v>
      </c>
      <c r="C105" s="1">
        <v>8498176313</v>
      </c>
      <c r="D105" s="11" t="s">
        <v>393</v>
      </c>
      <c r="E105" s="10">
        <v>44222</v>
      </c>
      <c r="F105" t="b">
        <v>1</v>
      </c>
    </row>
    <row r="106" spans="1:6" x14ac:dyDescent="0.2">
      <c r="A106" s="12" t="s">
        <v>1535</v>
      </c>
      <c r="B106" s="8" t="s">
        <v>1931</v>
      </c>
      <c r="C106" s="1">
        <v>8299610909</v>
      </c>
      <c r="D106" s="11" t="s">
        <v>393</v>
      </c>
      <c r="E106" s="10">
        <v>43733</v>
      </c>
      <c r="F106" t="b">
        <v>1</v>
      </c>
    </row>
    <row r="107" spans="1:6" x14ac:dyDescent="0.2">
      <c r="A107" s="12" t="s">
        <v>499</v>
      </c>
      <c r="B107" s="8" t="s">
        <v>1227</v>
      </c>
      <c r="C107" s="1">
        <v>8294366625</v>
      </c>
      <c r="D107" s="11" t="s">
        <v>393</v>
      </c>
      <c r="E107" s="10">
        <v>44277</v>
      </c>
      <c r="F107" t="b">
        <v>1</v>
      </c>
    </row>
    <row r="108" spans="1:6" x14ac:dyDescent="0.2">
      <c r="A108" s="12" t="s">
        <v>1633</v>
      </c>
      <c r="B108" s="8" t="s">
        <v>1966</v>
      </c>
      <c r="C108" s="1">
        <v>9216985</v>
      </c>
      <c r="D108" s="11" t="s">
        <v>393</v>
      </c>
      <c r="E108" s="10">
        <v>40798</v>
      </c>
      <c r="F108" t="b">
        <v>1</v>
      </c>
    </row>
    <row r="109" spans="1:6" x14ac:dyDescent="0.2">
      <c r="A109" s="12" t="s">
        <v>1705</v>
      </c>
      <c r="B109" s="8" t="s">
        <v>1991</v>
      </c>
      <c r="C109" s="1">
        <v>8294532445</v>
      </c>
      <c r="D109" s="11" t="s">
        <v>393</v>
      </c>
      <c r="E109" s="10">
        <v>43770</v>
      </c>
      <c r="F109" t="b">
        <v>1</v>
      </c>
    </row>
    <row r="110" spans="1:6" x14ac:dyDescent="0.2">
      <c r="A110" s="12" t="s">
        <v>1802</v>
      </c>
      <c r="B110" s="8" t="s">
        <v>2025</v>
      </c>
      <c r="C110" s="1">
        <v>8755226</v>
      </c>
      <c r="D110" s="11" t="s">
        <v>182</v>
      </c>
      <c r="E110" s="10">
        <v>43801</v>
      </c>
      <c r="F110" t="b">
        <v>1</v>
      </c>
    </row>
    <row r="111" spans="1:6" x14ac:dyDescent="0.2">
      <c r="A111" s="12" t="s">
        <v>1556</v>
      </c>
      <c r="B111" s="8" t="s">
        <v>1938</v>
      </c>
      <c r="C111" s="1">
        <v>8244973</v>
      </c>
      <c r="D111" s="11" t="s">
        <v>182</v>
      </c>
      <c r="E111" s="10">
        <v>42472</v>
      </c>
      <c r="F111" t="b">
        <v>1</v>
      </c>
    </row>
    <row r="112" spans="1:6" x14ac:dyDescent="0.2">
      <c r="A112" s="12" t="s">
        <v>1493</v>
      </c>
      <c r="B112" s="8" t="s">
        <v>1916</v>
      </c>
      <c r="C112" s="1">
        <v>4115953</v>
      </c>
      <c r="D112" s="11" t="s">
        <v>760</v>
      </c>
      <c r="E112" s="10">
        <v>39644</v>
      </c>
      <c r="F112" t="b">
        <v>1</v>
      </c>
    </row>
    <row r="113" spans="1:6" x14ac:dyDescent="0.2">
      <c r="A113" s="12" t="s">
        <v>1765</v>
      </c>
      <c r="B113" s="8" t="s">
        <v>2012</v>
      </c>
      <c r="C113" s="1">
        <v>9931247</v>
      </c>
      <c r="D113" s="11" t="s">
        <v>393</v>
      </c>
      <c r="E113" s="10">
        <v>43770</v>
      </c>
      <c r="F113" t="b">
        <v>1</v>
      </c>
    </row>
    <row r="114" spans="1:6" x14ac:dyDescent="0.2">
      <c r="A114" s="12" t="s">
        <v>2329</v>
      </c>
      <c r="B114" s="8" t="s">
        <v>2373</v>
      </c>
      <c r="C114" s="1">
        <v>8498504495</v>
      </c>
      <c r="D114" s="11" t="s">
        <v>182</v>
      </c>
      <c r="E114" s="10">
        <v>44378</v>
      </c>
      <c r="F114" t="b">
        <v>1</v>
      </c>
    </row>
    <row r="115" spans="1:6" x14ac:dyDescent="0.2">
      <c r="A115" s="12" t="s">
        <v>1605</v>
      </c>
      <c r="B115" s="8" t="s">
        <v>1956</v>
      </c>
      <c r="C115" s="1">
        <v>9865286</v>
      </c>
      <c r="D115" s="11" t="s">
        <v>182</v>
      </c>
      <c r="E115" s="10">
        <v>43108</v>
      </c>
      <c r="F115" t="b">
        <v>1</v>
      </c>
    </row>
    <row r="116" spans="1:6" x14ac:dyDescent="0.2">
      <c r="A116" s="12" t="s">
        <v>1822</v>
      </c>
      <c r="B116" s="8" t="s">
        <v>2032</v>
      </c>
      <c r="C116" s="1">
        <v>8297662630</v>
      </c>
      <c r="D116" s="11" t="s">
        <v>393</v>
      </c>
      <c r="E116" s="10">
        <v>44029</v>
      </c>
      <c r="F116" t="b">
        <v>1</v>
      </c>
    </row>
    <row r="117" spans="1:6" x14ac:dyDescent="0.2">
      <c r="A117" s="12" t="s">
        <v>1793</v>
      </c>
      <c r="B117" s="8" t="s">
        <v>2022</v>
      </c>
      <c r="C117" s="1">
        <v>8098143068</v>
      </c>
      <c r="D117" s="11" t="s">
        <v>393</v>
      </c>
      <c r="E117" s="10">
        <v>44266</v>
      </c>
      <c r="F117" t="b">
        <v>1</v>
      </c>
    </row>
    <row r="118" spans="1:6" x14ac:dyDescent="0.2">
      <c r="A118" s="12" t="s">
        <v>1429</v>
      </c>
      <c r="B118" s="8" t="s">
        <v>1894</v>
      </c>
      <c r="C118" s="1">
        <v>8297182436</v>
      </c>
      <c r="D118" s="11" t="s">
        <v>393</v>
      </c>
      <c r="E118" s="10">
        <v>42887</v>
      </c>
      <c r="F118" t="b">
        <v>1</v>
      </c>
    </row>
    <row r="119" spans="1:6" x14ac:dyDescent="0.2">
      <c r="A119" s="12" t="s">
        <v>1490</v>
      </c>
      <c r="B119" s="8" t="s">
        <v>1915</v>
      </c>
      <c r="C119" s="1">
        <v>8299109862</v>
      </c>
      <c r="D119" s="11" t="s">
        <v>393</v>
      </c>
      <c r="E119" s="10">
        <v>44065</v>
      </c>
      <c r="F119" t="b">
        <v>1</v>
      </c>
    </row>
    <row r="120" spans="1:6" x14ac:dyDescent="0.2">
      <c r="A120" s="12" t="s">
        <v>1418</v>
      </c>
      <c r="B120" s="8" t="s">
        <v>1890</v>
      </c>
      <c r="C120" s="1">
        <v>8098522036</v>
      </c>
      <c r="D120" s="11" t="s">
        <v>1354</v>
      </c>
      <c r="E120" s="10">
        <v>44309</v>
      </c>
      <c r="F120" t="b">
        <v>1</v>
      </c>
    </row>
    <row r="121" spans="1:6" x14ac:dyDescent="0.2">
      <c r="A121" s="12" t="s">
        <v>2608</v>
      </c>
      <c r="B121" s="8" t="s">
        <v>2615</v>
      </c>
      <c r="C121" s="1">
        <v>8493526910</v>
      </c>
      <c r="D121" s="11" t="s">
        <v>393</v>
      </c>
      <c r="E121" s="10">
        <v>44510</v>
      </c>
      <c r="F121" t="b">
        <v>1</v>
      </c>
    </row>
    <row r="122" spans="1:6" x14ac:dyDescent="0.2">
      <c r="A122" s="12" t="s">
        <v>1359</v>
      </c>
      <c r="B122" s="8" t="s">
        <v>1868</v>
      </c>
      <c r="C122" s="1">
        <v>9773168</v>
      </c>
      <c r="D122" s="11" t="s">
        <v>182</v>
      </c>
      <c r="E122" s="10">
        <v>43515</v>
      </c>
      <c r="F122" t="b">
        <v>1</v>
      </c>
    </row>
    <row r="123" spans="1:6" x14ac:dyDescent="0.2">
      <c r="A123" s="12" t="s">
        <v>1627</v>
      </c>
      <c r="B123" s="8" t="s">
        <v>1964</v>
      </c>
      <c r="C123" s="1">
        <v>8095502926</v>
      </c>
      <c r="D123" s="11" t="s">
        <v>393</v>
      </c>
      <c r="E123" s="10">
        <v>44009</v>
      </c>
      <c r="F123" t="b">
        <v>1</v>
      </c>
    </row>
    <row r="124" spans="1:6" x14ac:dyDescent="0.2">
      <c r="A124" s="12" t="s">
        <v>1678</v>
      </c>
      <c r="B124" s="8" t="s">
        <v>1982</v>
      </c>
      <c r="C124" s="1">
        <v>3657574</v>
      </c>
      <c r="D124" s="11" t="s">
        <v>393</v>
      </c>
      <c r="E124" s="10">
        <v>44002</v>
      </c>
      <c r="F124" t="b">
        <v>1</v>
      </c>
    </row>
    <row r="125" spans="1:6" x14ac:dyDescent="0.2">
      <c r="A125" s="12" t="s">
        <v>1602</v>
      </c>
      <c r="B125" s="8" t="s">
        <v>1955</v>
      </c>
      <c r="C125" s="1">
        <v>8099650020</v>
      </c>
      <c r="D125" s="11" t="s">
        <v>393</v>
      </c>
      <c r="E125" s="10">
        <v>44333</v>
      </c>
      <c r="F125" t="b">
        <v>1</v>
      </c>
    </row>
    <row r="126" spans="1:6" x14ac:dyDescent="0.2">
      <c r="A126" s="12" t="s">
        <v>1487</v>
      </c>
      <c r="B126" s="8" t="s">
        <v>1914</v>
      </c>
      <c r="C126" s="1">
        <v>8299822491</v>
      </c>
      <c r="D126" s="11" t="s">
        <v>760</v>
      </c>
      <c r="E126" s="10">
        <v>44106</v>
      </c>
      <c r="F126" t="b">
        <v>1</v>
      </c>
    </row>
    <row r="127" spans="1:6" x14ac:dyDescent="0.2">
      <c r="A127" s="12" t="s">
        <v>1592</v>
      </c>
      <c r="B127" s="8" t="s">
        <v>1951</v>
      </c>
      <c r="C127" s="1">
        <v>8295369112</v>
      </c>
      <c r="D127" s="11" t="s">
        <v>182</v>
      </c>
      <c r="E127" s="10">
        <v>44169</v>
      </c>
      <c r="F127" t="b">
        <v>1</v>
      </c>
    </row>
    <row r="128" spans="1:6" x14ac:dyDescent="0.2">
      <c r="A128" s="12" t="s">
        <v>1444</v>
      </c>
      <c r="B128" s="8" t="s">
        <v>1899</v>
      </c>
      <c r="C128" s="1">
        <v>8294914048</v>
      </c>
      <c r="D128" s="11" t="s">
        <v>182</v>
      </c>
      <c r="E128" s="10">
        <v>42745</v>
      </c>
      <c r="F128" t="b">
        <v>1</v>
      </c>
    </row>
    <row r="129" spans="1:6" x14ac:dyDescent="0.2">
      <c r="A129" s="12" t="s">
        <v>1787</v>
      </c>
      <c r="B129" s="8" t="s">
        <v>2020</v>
      </c>
      <c r="C129" s="1">
        <v>809507484</v>
      </c>
      <c r="D129" s="11" t="s">
        <v>182</v>
      </c>
      <c r="E129" s="10">
        <v>39930</v>
      </c>
      <c r="F129" t="b">
        <v>1</v>
      </c>
    </row>
    <row r="130" spans="1:6" x14ac:dyDescent="0.2">
      <c r="A130" s="12" t="s">
        <v>1745</v>
      </c>
      <c r="B130" s="8" t="s">
        <v>2005</v>
      </c>
      <c r="C130" s="1">
        <v>8139564</v>
      </c>
      <c r="D130" s="11" t="s">
        <v>182</v>
      </c>
      <c r="E130" s="10">
        <v>43832</v>
      </c>
      <c r="F130" t="b">
        <v>1</v>
      </c>
    </row>
    <row r="131" spans="1:6" x14ac:dyDescent="0.2">
      <c r="A131" s="12" t="s">
        <v>1427</v>
      </c>
      <c r="B131" s="8" t="s">
        <v>1893</v>
      </c>
      <c r="C131" s="1">
        <v>8099653574</v>
      </c>
      <c r="D131" s="11" t="s">
        <v>182</v>
      </c>
      <c r="E131" s="10">
        <v>41275</v>
      </c>
      <c r="F131" t="b">
        <v>1</v>
      </c>
    </row>
    <row r="132" spans="1:6" x14ac:dyDescent="0.2">
      <c r="A132" s="12" t="s">
        <v>1774</v>
      </c>
      <c r="B132" s="8" t="s">
        <v>2015</v>
      </c>
      <c r="C132" s="1">
        <v>5193219</v>
      </c>
      <c r="D132" s="11" t="s">
        <v>182</v>
      </c>
      <c r="E132" s="10">
        <v>41001</v>
      </c>
      <c r="F132" t="b">
        <v>1</v>
      </c>
    </row>
    <row r="133" spans="1:6" x14ac:dyDescent="0.2">
      <c r="A133" s="12" t="s">
        <v>1356</v>
      </c>
      <c r="B133" s="8" t="s">
        <v>1867</v>
      </c>
      <c r="C133" s="1">
        <v>8496398549</v>
      </c>
      <c r="D133" s="11" t="s">
        <v>393</v>
      </c>
      <c r="E133" s="10">
        <v>44012</v>
      </c>
      <c r="F133" t="b">
        <v>1</v>
      </c>
    </row>
    <row r="134" spans="1:6" x14ac:dyDescent="0.2">
      <c r="A134" s="12" t="s">
        <v>1817</v>
      </c>
      <c r="B134" s="8" t="s">
        <v>2030</v>
      </c>
      <c r="C134" s="1">
        <v>8297978108</v>
      </c>
      <c r="D134" s="11" t="s">
        <v>393</v>
      </c>
      <c r="E134" s="10">
        <v>44214</v>
      </c>
      <c r="F134" t="b">
        <v>1</v>
      </c>
    </row>
    <row r="135" spans="1:6" x14ac:dyDescent="0.2">
      <c r="A135" s="12" t="s">
        <v>1756</v>
      </c>
      <c r="B135" s="8" t="s">
        <v>2009</v>
      </c>
      <c r="C135" s="1">
        <v>6655445</v>
      </c>
      <c r="D135" s="11" t="s">
        <v>182</v>
      </c>
      <c r="E135" s="10">
        <v>39644</v>
      </c>
      <c r="F135" t="b">
        <v>1</v>
      </c>
    </row>
    <row r="136" spans="1:6" x14ac:dyDescent="0.2">
      <c r="A136" s="12" t="s">
        <v>1455</v>
      </c>
      <c r="B136" s="8" t="s">
        <v>1903</v>
      </c>
      <c r="C136" s="1">
        <v>1557645</v>
      </c>
      <c r="D136" s="11" t="s">
        <v>182</v>
      </c>
      <c r="E136" s="10">
        <v>43831</v>
      </c>
      <c r="F136" t="b">
        <v>1</v>
      </c>
    </row>
    <row r="137" spans="1:6" x14ac:dyDescent="0.2">
      <c r="A137" s="12" t="s">
        <v>1597</v>
      </c>
      <c r="B137" s="8" t="s">
        <v>1953</v>
      </c>
      <c r="C137" s="1">
        <v>9777188</v>
      </c>
      <c r="D137" s="11" t="s">
        <v>182</v>
      </c>
      <c r="E137" s="10">
        <v>43760</v>
      </c>
      <c r="F137" t="b">
        <v>1</v>
      </c>
    </row>
    <row r="138" spans="1:6" x14ac:dyDescent="0.2">
      <c r="A138" s="12" t="s">
        <v>2423</v>
      </c>
      <c r="B138" s="8" t="s">
        <v>2616</v>
      </c>
      <c r="C138" s="1">
        <v>8292967584</v>
      </c>
      <c r="D138" s="11" t="s">
        <v>393</v>
      </c>
      <c r="E138" s="10">
        <v>44511</v>
      </c>
      <c r="F138" t="b">
        <v>1</v>
      </c>
    </row>
    <row r="139" spans="1:6" x14ac:dyDescent="0.2">
      <c r="A139" s="12" t="s">
        <v>756</v>
      </c>
      <c r="B139" s="8" t="s">
        <v>2374</v>
      </c>
      <c r="C139" s="1">
        <v>8294509373</v>
      </c>
      <c r="D139" s="11" t="s">
        <v>760</v>
      </c>
      <c r="E139" s="10">
        <v>44455</v>
      </c>
      <c r="F139" t="b">
        <v>1</v>
      </c>
    </row>
    <row r="140" spans="1:6" x14ac:dyDescent="0.2">
      <c r="A140" s="12" t="s">
        <v>1421</v>
      </c>
      <c r="B140" s="8" t="s">
        <v>1891</v>
      </c>
      <c r="C140" s="1">
        <v>7235684</v>
      </c>
      <c r="D140" s="11" t="s">
        <v>393</v>
      </c>
      <c r="E140" s="10">
        <v>44356</v>
      </c>
      <c r="F140" t="b">
        <v>1</v>
      </c>
    </row>
    <row r="141" spans="1:6" x14ac:dyDescent="0.2">
      <c r="A141" s="12" t="s">
        <v>1750</v>
      </c>
      <c r="B141" s="8" t="s">
        <v>2007</v>
      </c>
      <c r="C141" s="1">
        <v>7315111</v>
      </c>
      <c r="D141" s="11" t="s">
        <v>393</v>
      </c>
      <c r="E141" s="10">
        <v>42919</v>
      </c>
      <c r="F141" t="b">
        <v>1</v>
      </c>
    </row>
    <row r="142" spans="1:6" x14ac:dyDescent="0.2">
      <c r="A142" s="12" t="s">
        <v>1693</v>
      </c>
      <c r="B142" s="8" t="s">
        <v>1987</v>
      </c>
      <c r="C142" s="1">
        <v>7389138</v>
      </c>
      <c r="D142" s="11" t="s">
        <v>393</v>
      </c>
      <c r="E142" s="10">
        <v>42567</v>
      </c>
      <c r="F142" t="b">
        <v>1</v>
      </c>
    </row>
    <row r="143" spans="1:6" x14ac:dyDescent="0.2">
      <c r="A143" s="12" t="s">
        <v>1687</v>
      </c>
      <c r="B143" s="8" t="s">
        <v>1985</v>
      </c>
      <c r="C143" s="1">
        <v>8299337678</v>
      </c>
      <c r="D143" s="11" t="s">
        <v>393</v>
      </c>
      <c r="E143" s="10">
        <v>44333</v>
      </c>
      <c r="F143" t="b">
        <v>1</v>
      </c>
    </row>
    <row r="144" spans="1:6" x14ac:dyDescent="0.2">
      <c r="A144" s="12" t="s">
        <v>1851</v>
      </c>
      <c r="B144" s="8" t="s">
        <v>2042</v>
      </c>
      <c r="C144" s="1">
        <v>6735229</v>
      </c>
      <c r="D144" s="11" t="s">
        <v>182</v>
      </c>
      <c r="E144" s="10">
        <v>41379</v>
      </c>
      <c r="F144" t="b">
        <v>1</v>
      </c>
    </row>
    <row r="145" spans="1:6" x14ac:dyDescent="0.2">
      <c r="A145" s="12" t="s">
        <v>1441</v>
      </c>
      <c r="B145" s="8" t="s">
        <v>1898</v>
      </c>
      <c r="C145" s="1">
        <v>8299375762</v>
      </c>
      <c r="D145" s="11" t="s">
        <v>182</v>
      </c>
      <c r="E145" s="10">
        <v>44256</v>
      </c>
      <c r="F145" t="b">
        <v>1</v>
      </c>
    </row>
    <row r="146" spans="1:6" x14ac:dyDescent="0.2">
      <c r="A146" s="12" t="s">
        <v>1636</v>
      </c>
      <c r="B146" s="8" t="s">
        <v>1967</v>
      </c>
      <c r="C146" s="1">
        <v>8299610907</v>
      </c>
      <c r="D146" s="11" t="s">
        <v>393</v>
      </c>
      <c r="E146" s="10">
        <v>40199</v>
      </c>
      <c r="F146" t="b">
        <v>1</v>
      </c>
    </row>
    <row r="147" spans="1:6" x14ac:dyDescent="0.2">
      <c r="A147" s="12" t="s">
        <v>1369</v>
      </c>
      <c r="B147" s="8" t="s">
        <v>1872</v>
      </c>
      <c r="C147" s="1">
        <v>2536459</v>
      </c>
      <c r="D147" s="11" t="s">
        <v>182</v>
      </c>
      <c r="E147" s="10">
        <v>43768</v>
      </c>
      <c r="F147" t="b">
        <v>1</v>
      </c>
    </row>
    <row r="148" spans="1:6" x14ac:dyDescent="0.2">
      <c r="A148" s="12" t="s">
        <v>1836</v>
      </c>
      <c r="B148" s="8" t="s">
        <v>2037</v>
      </c>
      <c r="C148" s="1">
        <v>4617693</v>
      </c>
      <c r="D148" s="11" t="s">
        <v>182</v>
      </c>
      <c r="E148" s="10">
        <v>43319</v>
      </c>
      <c r="F148" t="b">
        <v>1</v>
      </c>
    </row>
    <row r="149" spans="1:6" x14ac:dyDescent="0.2">
      <c r="A149" s="12" t="s">
        <v>2404</v>
      </c>
      <c r="B149" s="8" t="s">
        <v>2484</v>
      </c>
      <c r="C149" s="1">
        <v>8097614633</v>
      </c>
      <c r="D149" s="11" t="s">
        <v>182</v>
      </c>
      <c r="E149" s="10">
        <v>44470</v>
      </c>
      <c r="F149" t="b">
        <v>1</v>
      </c>
    </row>
    <row r="150" spans="1:6" x14ac:dyDescent="0.2">
      <c r="A150" s="12" t="s">
        <v>1424</v>
      </c>
      <c r="B150" s="8" t="s">
        <v>1892</v>
      </c>
      <c r="C150" s="1">
        <v>8782763</v>
      </c>
      <c r="D150" s="11" t="s">
        <v>182</v>
      </c>
      <c r="E150" s="10">
        <v>40238</v>
      </c>
      <c r="F150" t="b">
        <v>1</v>
      </c>
    </row>
    <row r="151" spans="1:6" x14ac:dyDescent="0.2">
      <c r="A151" s="12" t="s">
        <v>1858</v>
      </c>
      <c r="B151" s="8" t="s">
        <v>2045</v>
      </c>
      <c r="C151" s="1">
        <v>8098662153</v>
      </c>
      <c r="D151" s="11" t="s">
        <v>393</v>
      </c>
      <c r="E151" s="10">
        <v>44410</v>
      </c>
      <c r="F151" t="b">
        <v>1</v>
      </c>
    </row>
    <row r="152" spans="1:6" x14ac:dyDescent="0.2">
      <c r="A152" s="12" t="s">
        <v>517</v>
      </c>
      <c r="B152" s="8" t="s">
        <v>1949</v>
      </c>
      <c r="C152" s="1">
        <v>9677868</v>
      </c>
      <c r="D152" s="11" t="s">
        <v>393</v>
      </c>
      <c r="E152" s="10">
        <v>44215</v>
      </c>
      <c r="F152" t="b">
        <v>1</v>
      </c>
    </row>
    <row r="153" spans="1:6" x14ac:dyDescent="0.2">
      <c r="A153" s="12" t="s">
        <v>1473</v>
      </c>
      <c r="B153" s="8" t="s">
        <v>1909</v>
      </c>
      <c r="C153" s="1">
        <v>8294061714</v>
      </c>
      <c r="D153" s="11" t="s">
        <v>182</v>
      </c>
      <c r="E153" s="10">
        <v>44317</v>
      </c>
      <c r="F153" t="b">
        <v>1</v>
      </c>
    </row>
    <row r="154" spans="1:6" x14ac:dyDescent="0.2">
      <c r="A154" s="12" t="s">
        <v>1383</v>
      </c>
      <c r="B154" s="8" t="s">
        <v>1877</v>
      </c>
      <c r="C154" s="1">
        <v>5294457</v>
      </c>
      <c r="D154" s="11" t="s">
        <v>1354</v>
      </c>
      <c r="E154" s="10">
        <v>44137</v>
      </c>
      <c r="F154" t="b">
        <v>1</v>
      </c>
    </row>
    <row r="155" spans="1:6" x14ac:dyDescent="0.2">
      <c r="A155" s="12" t="s">
        <v>1830</v>
      </c>
      <c r="B155" s="8" t="s">
        <v>2035</v>
      </c>
      <c r="C155" s="1">
        <v>2372827</v>
      </c>
      <c r="D155" s="11" t="s">
        <v>393</v>
      </c>
      <c r="E155" s="10">
        <v>43358</v>
      </c>
      <c r="F155" t="b">
        <v>1</v>
      </c>
    </row>
    <row r="156" spans="1:6" x14ac:dyDescent="0.2">
      <c r="A156" s="12" t="s">
        <v>1395</v>
      </c>
      <c r="B156" s="8" t="s">
        <v>1881</v>
      </c>
      <c r="C156" s="1">
        <v>8095149406</v>
      </c>
      <c r="D156" s="11" t="s">
        <v>182</v>
      </c>
      <c r="E156" s="10">
        <v>44282</v>
      </c>
      <c r="F156" t="b">
        <v>1</v>
      </c>
    </row>
    <row r="157" spans="1:6" x14ac:dyDescent="0.2">
      <c r="A157" s="12" t="s">
        <v>1768</v>
      </c>
      <c r="B157" s="8" t="s">
        <v>2013</v>
      </c>
      <c r="C157" s="1">
        <v>6573466</v>
      </c>
      <c r="D157" s="11" t="s">
        <v>393</v>
      </c>
      <c r="E157" s="10">
        <v>44319</v>
      </c>
      <c r="F157" t="b">
        <v>1</v>
      </c>
    </row>
    <row r="158" spans="1:6" x14ac:dyDescent="0.2">
      <c r="A158" s="12" t="s">
        <v>1655</v>
      </c>
      <c r="B158" s="8" t="s">
        <v>1974</v>
      </c>
      <c r="C158" s="1">
        <v>8099657838</v>
      </c>
      <c r="D158" s="11" t="s">
        <v>1354</v>
      </c>
      <c r="E158" s="10">
        <v>44320</v>
      </c>
      <c r="F158" t="b">
        <v>1</v>
      </c>
    </row>
    <row r="159" spans="1:6" x14ac:dyDescent="0.2">
      <c r="A159" s="12" t="s">
        <v>771</v>
      </c>
      <c r="B159" s="8" t="s">
        <v>2033</v>
      </c>
      <c r="C159" s="1">
        <v>8094073791</v>
      </c>
      <c r="D159" s="11" t="s">
        <v>182</v>
      </c>
      <c r="E159" s="10">
        <v>44363</v>
      </c>
      <c r="F159" t="b">
        <v>1</v>
      </c>
    </row>
    <row r="160" spans="1:6" x14ac:dyDescent="0.2">
      <c r="A160" s="12" t="s">
        <v>1413</v>
      </c>
      <c r="B160" s="8" t="s">
        <v>1888</v>
      </c>
      <c r="C160" s="1">
        <v>2213169</v>
      </c>
      <c r="D160" s="11" t="s">
        <v>182</v>
      </c>
      <c r="E160" s="10">
        <v>41792</v>
      </c>
      <c r="F160" t="b">
        <v>1</v>
      </c>
    </row>
    <row r="161" spans="1:6" x14ac:dyDescent="0.2">
      <c r="A161" s="12" t="s">
        <v>1348</v>
      </c>
      <c r="B161" s="8" t="s">
        <v>1864</v>
      </c>
      <c r="C161" s="1">
        <v>8094017149</v>
      </c>
      <c r="D161" s="11" t="s">
        <v>182</v>
      </c>
      <c r="E161" s="10">
        <v>44348</v>
      </c>
      <c r="F161" t="b">
        <v>1</v>
      </c>
    </row>
    <row r="162" spans="1:6" x14ac:dyDescent="0.2">
      <c r="A162" s="12" t="s">
        <v>1702</v>
      </c>
      <c r="B162" s="8" t="s">
        <v>1990</v>
      </c>
      <c r="C162" s="1">
        <v>7238117</v>
      </c>
      <c r="D162" s="11" t="s">
        <v>182</v>
      </c>
      <c r="E162" s="10">
        <v>38922</v>
      </c>
      <c r="F162" t="b">
        <v>1</v>
      </c>
    </row>
    <row r="163" spans="1:6" x14ac:dyDescent="0.2">
      <c r="A163" s="12" t="s">
        <v>1505</v>
      </c>
      <c r="B163" s="8" t="s">
        <v>1920</v>
      </c>
      <c r="C163" s="1">
        <v>8163622</v>
      </c>
      <c r="D163" s="11" t="s">
        <v>182</v>
      </c>
      <c r="E163" s="10">
        <v>43098</v>
      </c>
      <c r="F163" t="b">
        <v>1</v>
      </c>
    </row>
    <row r="164" spans="1:6" x14ac:dyDescent="0.2">
      <c r="A164" s="12" t="s">
        <v>1630</v>
      </c>
      <c r="B164" s="8" t="s">
        <v>1965</v>
      </c>
      <c r="C164" s="1">
        <v>9235455</v>
      </c>
      <c r="D164" s="11" t="s">
        <v>760</v>
      </c>
      <c r="E164" s="10">
        <v>43634</v>
      </c>
      <c r="F164" t="b">
        <v>1</v>
      </c>
    </row>
    <row r="165" spans="1:6" x14ac:dyDescent="0.2">
      <c r="A165" s="12" t="s">
        <v>1404</v>
      </c>
      <c r="B165" s="8" t="s">
        <v>1885</v>
      </c>
      <c r="C165" s="1">
        <v>2127691</v>
      </c>
      <c r="D165" s="11" t="s">
        <v>393</v>
      </c>
      <c r="E165" s="10">
        <v>43844</v>
      </c>
      <c r="F165" t="b">
        <v>1</v>
      </c>
    </row>
    <row r="166" spans="1:6" x14ac:dyDescent="0.2">
      <c r="A166" s="12" t="s">
        <v>1845</v>
      </c>
      <c r="B166" s="8" t="s">
        <v>2040</v>
      </c>
      <c r="C166" s="1">
        <v>8093326865</v>
      </c>
      <c r="D166" s="11" t="s">
        <v>393</v>
      </c>
      <c r="E166" s="10">
        <v>44105</v>
      </c>
      <c r="F166" t="b">
        <v>1</v>
      </c>
    </row>
    <row r="167" spans="1:6" x14ac:dyDescent="0.2">
      <c r="A167" s="12" t="s">
        <v>1553</v>
      </c>
      <c r="B167" s="8" t="s">
        <v>1937</v>
      </c>
      <c r="C167" s="1">
        <v>7918942</v>
      </c>
      <c r="D167" s="11" t="s">
        <v>1354</v>
      </c>
      <c r="E167" s="10">
        <v>43893</v>
      </c>
      <c r="F167" t="b">
        <v>1</v>
      </c>
    </row>
    <row r="168" spans="1:6" x14ac:dyDescent="0.2">
      <c r="A168" s="12" t="s">
        <v>1696</v>
      </c>
      <c r="B168" s="8" t="s">
        <v>1988</v>
      </c>
      <c r="C168" s="1">
        <v>1719399</v>
      </c>
      <c r="D168" s="11" t="s">
        <v>393</v>
      </c>
      <c r="E168" s="10">
        <v>44173</v>
      </c>
      <c r="F168" t="b">
        <v>1</v>
      </c>
    </row>
    <row r="169" spans="1:6" x14ac:dyDescent="0.2">
      <c r="A169" s="12" t="s">
        <v>899</v>
      </c>
      <c r="B169" s="8" t="s">
        <v>2044</v>
      </c>
      <c r="C169" s="1">
        <v>8297171763</v>
      </c>
      <c r="D169" s="11" t="s">
        <v>393</v>
      </c>
      <c r="E169" s="10">
        <v>44410</v>
      </c>
      <c r="F169" t="b">
        <v>1</v>
      </c>
    </row>
    <row r="170" spans="1:6" x14ac:dyDescent="0.2">
      <c r="A170" s="12" t="s">
        <v>1458</v>
      </c>
      <c r="B170" s="8" t="s">
        <v>1904</v>
      </c>
      <c r="C170" s="1">
        <v>3225429</v>
      </c>
      <c r="D170" s="11" t="s">
        <v>393</v>
      </c>
      <c r="E170" s="10">
        <v>44159</v>
      </c>
      <c r="F170" t="b">
        <v>1</v>
      </c>
    </row>
    <row r="171" spans="1:6" x14ac:dyDescent="0.2">
      <c r="A171" s="12" t="s">
        <v>1532</v>
      </c>
      <c r="B171" s="8" t="s">
        <v>1930</v>
      </c>
      <c r="C171" s="1">
        <v>8846582</v>
      </c>
      <c r="D171" s="11" t="s">
        <v>182</v>
      </c>
      <c r="E171" s="10">
        <v>43437</v>
      </c>
      <c r="F171" t="b">
        <v>1</v>
      </c>
    </row>
    <row r="172" spans="1:6" x14ac:dyDescent="0.2">
      <c r="A172" s="12" t="s">
        <v>1019</v>
      </c>
      <c r="B172" s="8" t="s">
        <v>2375</v>
      </c>
      <c r="C172" s="1">
        <v>8097431951</v>
      </c>
      <c r="D172" s="11" t="s">
        <v>393</v>
      </c>
      <c r="E172" s="10">
        <v>44457</v>
      </c>
      <c r="F172" t="b">
        <v>1</v>
      </c>
    </row>
    <row r="173" spans="1:6" x14ac:dyDescent="0.2">
      <c r="A173" s="12" t="s">
        <v>1562</v>
      </c>
      <c r="B173" s="8" t="s">
        <v>1940</v>
      </c>
      <c r="C173" s="1">
        <v>4953255</v>
      </c>
      <c r="D173" s="11" t="s">
        <v>182</v>
      </c>
      <c r="E173" s="10">
        <v>42283</v>
      </c>
      <c r="F173" t="b">
        <v>1</v>
      </c>
    </row>
    <row r="174" spans="1:6" x14ac:dyDescent="0.2">
      <c r="A174" s="12" t="s">
        <v>1496</v>
      </c>
      <c r="B174" s="8" t="s">
        <v>1917</v>
      </c>
      <c r="C174" s="1">
        <v>8299792657</v>
      </c>
      <c r="D174" s="11" t="s">
        <v>393</v>
      </c>
      <c r="E174" s="10">
        <v>43760</v>
      </c>
      <c r="F174" t="b">
        <v>1</v>
      </c>
    </row>
    <row r="175" spans="1:6" x14ac:dyDescent="0.2">
      <c r="A175" s="12" t="s">
        <v>1372</v>
      </c>
      <c r="B175" s="8" t="s">
        <v>1873</v>
      </c>
      <c r="C175" s="1">
        <v>6714778</v>
      </c>
      <c r="D175" s="11" t="s">
        <v>1354</v>
      </c>
      <c r="E175" s="10">
        <v>41685</v>
      </c>
      <c r="F175" t="b">
        <v>1</v>
      </c>
    </row>
    <row r="176" spans="1:6" x14ac:dyDescent="0.2">
      <c r="A176" s="12" t="s">
        <v>1681</v>
      </c>
      <c r="B176" s="8" t="s">
        <v>1983</v>
      </c>
      <c r="C176" s="1">
        <v>7426843</v>
      </c>
      <c r="D176" s="11" t="s">
        <v>393</v>
      </c>
      <c r="E176" s="10">
        <v>43095</v>
      </c>
      <c r="F176" t="b">
        <v>1</v>
      </c>
    </row>
    <row r="177" spans="1:6" x14ac:dyDescent="0.2">
      <c r="A177" s="12" t="s">
        <v>1620</v>
      </c>
      <c r="B177" s="8" t="s">
        <v>1961</v>
      </c>
      <c r="C177" s="1">
        <v>8297728193</v>
      </c>
      <c r="D177" s="11" t="s">
        <v>393</v>
      </c>
      <c r="E177" s="10">
        <v>44075</v>
      </c>
      <c r="F177" t="b">
        <v>1</v>
      </c>
    </row>
    <row r="178" spans="1:6" x14ac:dyDescent="0.2">
      <c r="A178" s="12" t="s">
        <v>1652</v>
      </c>
      <c r="B178" s="8" t="s">
        <v>1973</v>
      </c>
      <c r="C178" s="1">
        <v>8292487192</v>
      </c>
      <c r="D178" s="11" t="s">
        <v>182</v>
      </c>
      <c r="E178" s="10">
        <v>44039</v>
      </c>
      <c r="F178" t="b">
        <v>1</v>
      </c>
    </row>
    <row r="179" spans="1:6" x14ac:dyDescent="0.2">
      <c r="A179" s="12" t="s">
        <v>1386</v>
      </c>
      <c r="B179" s="8" t="s">
        <v>1878</v>
      </c>
      <c r="C179" s="1">
        <v>1178821</v>
      </c>
      <c r="D179" s="11" t="s">
        <v>393</v>
      </c>
      <c r="E179" s="10">
        <v>43374</v>
      </c>
      <c r="F179" t="b">
        <v>1</v>
      </c>
    </row>
    <row r="180" spans="1:6" x14ac:dyDescent="0.2">
      <c r="A180" s="12" t="s">
        <v>1464</v>
      </c>
      <c r="B180" s="8" t="s">
        <v>1906</v>
      </c>
      <c r="C180" s="1">
        <v>8092973650</v>
      </c>
      <c r="D180" s="11" t="s">
        <v>393</v>
      </c>
      <c r="E180" s="10">
        <v>44301</v>
      </c>
      <c r="F180" t="b">
        <v>1</v>
      </c>
    </row>
    <row r="181" spans="1:6" x14ac:dyDescent="0.2">
      <c r="A181" s="12" t="s">
        <v>1617</v>
      </c>
      <c r="B181" s="8" t="s">
        <v>1960</v>
      </c>
      <c r="C181" s="1">
        <v>5454115</v>
      </c>
      <c r="D181" s="11" t="s">
        <v>182</v>
      </c>
      <c r="E181" s="10">
        <v>42763</v>
      </c>
      <c r="F181" t="b">
        <v>1</v>
      </c>
    </row>
    <row r="182" spans="1:6" x14ac:dyDescent="0.2">
      <c r="A182" s="12" t="s">
        <v>1827</v>
      </c>
      <c r="B182" s="8" t="s">
        <v>2034</v>
      </c>
      <c r="C182" s="1">
        <v>8298077037</v>
      </c>
      <c r="D182" s="11" t="s">
        <v>182</v>
      </c>
      <c r="E182" s="10">
        <v>44319</v>
      </c>
      <c r="F182" t="b">
        <v>1</v>
      </c>
    </row>
    <row r="183" spans="1:6" x14ac:dyDescent="0.2">
      <c r="A183" s="12" t="s">
        <v>1848</v>
      </c>
      <c r="B183" s="8" t="s">
        <v>2041</v>
      </c>
      <c r="C183" s="1">
        <v>2878789</v>
      </c>
      <c r="D183" s="11" t="s">
        <v>393</v>
      </c>
      <c r="E183" s="10">
        <v>43283</v>
      </c>
      <c r="F183" t="b">
        <v>1</v>
      </c>
    </row>
    <row r="184" spans="1:6" x14ac:dyDescent="0.2">
      <c r="A184" s="12" t="s">
        <v>999</v>
      </c>
      <c r="B184" s="8" t="s">
        <v>2047</v>
      </c>
      <c r="C184" s="1">
        <v>8299064529</v>
      </c>
      <c r="D184" s="11" t="s">
        <v>182</v>
      </c>
      <c r="E184" s="10">
        <v>44408</v>
      </c>
      <c r="F184" t="b">
        <v>1</v>
      </c>
    </row>
    <row r="185" spans="1:6" x14ac:dyDescent="0.2">
      <c r="A185" s="12" t="s">
        <v>1658</v>
      </c>
      <c r="B185" s="8" t="s">
        <v>1975</v>
      </c>
      <c r="C185" s="1">
        <v>5182617</v>
      </c>
      <c r="D185" s="11" t="s">
        <v>182</v>
      </c>
      <c r="E185" s="10">
        <v>43238</v>
      </c>
      <c r="F185" t="b">
        <v>1</v>
      </c>
    </row>
    <row r="186" spans="1:6" x14ac:dyDescent="0.2">
      <c r="A186" s="12" t="s">
        <v>1583</v>
      </c>
      <c r="B186" s="8" t="s">
        <v>1947</v>
      </c>
      <c r="C186" s="1">
        <v>8097368031</v>
      </c>
      <c r="D186" s="11" t="s">
        <v>393</v>
      </c>
      <c r="E186" s="10">
        <v>44238</v>
      </c>
      <c r="F186" t="b">
        <v>1</v>
      </c>
    </row>
    <row r="187" spans="1:6" x14ac:dyDescent="0.2">
      <c r="A187" s="12" t="s">
        <v>1392</v>
      </c>
      <c r="B187" s="8" t="s">
        <v>1880</v>
      </c>
      <c r="C187" s="1">
        <v>5373817</v>
      </c>
      <c r="D187" s="11" t="s">
        <v>393</v>
      </c>
      <c r="E187" s="10">
        <v>43381</v>
      </c>
      <c r="F187" t="b">
        <v>1</v>
      </c>
    </row>
    <row r="188" spans="1:6" x14ac:dyDescent="0.2">
      <c r="A188" s="12" t="s">
        <v>904</v>
      </c>
      <c r="B188" s="8" t="s">
        <v>1970</v>
      </c>
      <c r="C188" s="1">
        <v>8298552091</v>
      </c>
      <c r="D188" s="11" t="s">
        <v>182</v>
      </c>
      <c r="E188" s="10">
        <v>44365</v>
      </c>
      <c r="F188" t="b">
        <v>1</v>
      </c>
    </row>
    <row r="189" spans="1:6" x14ac:dyDescent="0.2">
      <c r="A189" s="12" t="s">
        <v>1599</v>
      </c>
      <c r="B189" s="8" t="s">
        <v>1954</v>
      </c>
      <c r="C189" s="1">
        <v>8892491</v>
      </c>
      <c r="D189" s="11" t="s">
        <v>182</v>
      </c>
      <c r="E189" s="10">
        <v>44153</v>
      </c>
      <c r="F189" t="b">
        <v>1</v>
      </c>
    </row>
    <row r="190" spans="1:6" x14ac:dyDescent="0.2">
      <c r="A190" s="12" t="s">
        <v>1708</v>
      </c>
      <c r="B190" s="8" t="s">
        <v>1992</v>
      </c>
      <c r="C190" s="1">
        <v>4827384</v>
      </c>
      <c r="D190" s="11" t="s">
        <v>393</v>
      </c>
      <c r="E190" s="10">
        <v>43595</v>
      </c>
      <c r="F190" t="b">
        <v>1</v>
      </c>
    </row>
    <row r="191" spans="1:6" x14ac:dyDescent="0.2">
      <c r="A191" s="12" t="s">
        <v>1675</v>
      </c>
      <c r="B191" s="8" t="s">
        <v>1981</v>
      </c>
      <c r="C191" s="1">
        <v>8988122</v>
      </c>
      <c r="D191" s="11" t="s">
        <v>393</v>
      </c>
      <c r="E191" s="10">
        <v>44040</v>
      </c>
      <c r="F191" t="b">
        <v>1</v>
      </c>
    </row>
    <row r="192" spans="1:6" x14ac:dyDescent="0.2">
      <c r="A192" s="12" t="s">
        <v>1721</v>
      </c>
      <c r="B192" s="8" t="s">
        <v>1997</v>
      </c>
      <c r="C192" s="1">
        <v>8093394223</v>
      </c>
      <c r="D192" s="11" t="s">
        <v>393</v>
      </c>
      <c r="E192" s="10">
        <v>44145</v>
      </c>
      <c r="F192" t="b">
        <v>1</v>
      </c>
    </row>
    <row r="193" spans="1:6" x14ac:dyDescent="0.2">
      <c r="A193" s="12" t="s">
        <v>1053</v>
      </c>
      <c r="B193" s="8" t="s">
        <v>2046</v>
      </c>
      <c r="C193" s="1">
        <v>8297026022</v>
      </c>
      <c r="D193" s="11" t="s">
        <v>393</v>
      </c>
      <c r="E193" s="10">
        <v>44424</v>
      </c>
      <c r="F193" t="b">
        <v>1</v>
      </c>
    </row>
    <row r="194" spans="1:6" x14ac:dyDescent="0.2">
      <c r="A194" s="12" t="s">
        <v>1839</v>
      </c>
      <c r="B194" s="8" t="s">
        <v>2038</v>
      </c>
      <c r="C194" s="1">
        <v>1729473</v>
      </c>
      <c r="D194" s="11" t="s">
        <v>182</v>
      </c>
      <c r="E194" s="10">
        <v>43347</v>
      </c>
      <c r="F194" t="b">
        <v>1</v>
      </c>
    </row>
    <row r="195" spans="1:6" x14ac:dyDescent="0.2">
      <c r="A195" s="12" t="s">
        <v>1432</v>
      </c>
      <c r="B195" s="8" t="s">
        <v>1895</v>
      </c>
      <c r="C195" s="1">
        <v>4116449</v>
      </c>
      <c r="D195" s="11" t="s">
        <v>393</v>
      </c>
      <c r="E195" s="10">
        <v>44193</v>
      </c>
      <c r="F195" t="b">
        <v>1</v>
      </c>
    </row>
    <row r="196" spans="1:6" x14ac:dyDescent="0.2">
      <c r="A196" s="12" t="s">
        <v>1508</v>
      </c>
      <c r="B196" s="8" t="s">
        <v>1921</v>
      </c>
      <c r="C196" s="1">
        <v>8295950728</v>
      </c>
      <c r="D196" s="11" t="s">
        <v>393</v>
      </c>
      <c r="E196" s="10">
        <v>44008</v>
      </c>
      <c r="F196" t="b">
        <v>1</v>
      </c>
    </row>
    <row r="197" spans="1:6" x14ac:dyDescent="0.2">
      <c r="A197" s="12" t="s">
        <v>1854</v>
      </c>
      <c r="B197" s="8" t="s">
        <v>2043</v>
      </c>
      <c r="C197" s="1">
        <v>1234567891</v>
      </c>
      <c r="D197" s="11" t="s">
        <v>393</v>
      </c>
      <c r="E197" s="10">
        <v>44331</v>
      </c>
      <c r="F197" t="b">
        <v>1</v>
      </c>
    </row>
    <row r="198" spans="1:6" x14ac:dyDescent="0.2">
      <c r="A198" s="12" t="s">
        <v>1748</v>
      </c>
      <c r="B198" s="8" t="s">
        <v>2006</v>
      </c>
      <c r="C198" s="1">
        <v>4288912</v>
      </c>
      <c r="D198" s="11" t="s">
        <v>182</v>
      </c>
      <c r="E198" s="10">
        <v>42843</v>
      </c>
      <c r="F198" t="b">
        <v>1</v>
      </c>
    </row>
    <row r="199" spans="1:6" x14ac:dyDescent="0.2">
      <c r="A199" s="12" t="s">
        <v>369</v>
      </c>
      <c r="B199" s="8" t="s">
        <v>1205</v>
      </c>
      <c r="C199" s="1">
        <v>8096746157</v>
      </c>
      <c r="D199" s="11" t="s">
        <v>182</v>
      </c>
      <c r="E199" s="10">
        <v>44105</v>
      </c>
      <c r="F199" t="b">
        <v>1</v>
      </c>
    </row>
    <row r="200" spans="1:6" x14ac:dyDescent="0.2">
      <c r="A200" s="12" t="s">
        <v>1541</v>
      </c>
      <c r="B200" s="8" t="s">
        <v>1933</v>
      </c>
      <c r="C200" s="1">
        <v>9882716</v>
      </c>
      <c r="D200" s="11" t="s">
        <v>393</v>
      </c>
      <c r="E200" s="10">
        <v>42749</v>
      </c>
      <c r="F200" t="b">
        <v>1</v>
      </c>
    </row>
    <row r="201" spans="1:6" x14ac:dyDescent="0.2">
      <c r="A201" s="12" t="s">
        <v>1782</v>
      </c>
      <c r="B201" s="8" t="s">
        <v>2018</v>
      </c>
      <c r="C201" s="1">
        <v>8297159785</v>
      </c>
      <c r="D201" s="11" t="s">
        <v>393</v>
      </c>
      <c r="E201" s="10">
        <v>44347</v>
      </c>
      <c r="F201" t="b">
        <v>1</v>
      </c>
    </row>
    <row r="202" spans="1:6" x14ac:dyDescent="0.2">
      <c r="A202" s="12" t="s">
        <v>1499</v>
      </c>
      <c r="B202" s="8" t="s">
        <v>1918</v>
      </c>
      <c r="C202" s="1">
        <v>5365555</v>
      </c>
      <c r="D202" s="11" t="s">
        <v>393</v>
      </c>
      <c r="E202" s="10">
        <v>43561</v>
      </c>
      <c r="F202" t="b">
        <v>1</v>
      </c>
    </row>
    <row r="203" spans="1:6" x14ac:dyDescent="0.2">
      <c r="A203" s="12" t="s">
        <v>969</v>
      </c>
      <c r="B203" s="8" t="s">
        <v>2376</v>
      </c>
      <c r="C203" s="1">
        <v>8094473246</v>
      </c>
      <c r="D203" s="11" t="s">
        <v>393</v>
      </c>
      <c r="E203" s="10">
        <v>44423</v>
      </c>
      <c r="F203" t="b">
        <v>1</v>
      </c>
    </row>
    <row r="204" spans="1:6" x14ac:dyDescent="0.2">
      <c r="A204" s="12" t="s">
        <v>1779</v>
      </c>
      <c r="B204" s="8" t="s">
        <v>2017</v>
      </c>
      <c r="C204" s="1">
        <v>2539572</v>
      </c>
      <c r="D204" s="11" t="s">
        <v>182</v>
      </c>
      <c r="E204" s="10">
        <v>41426</v>
      </c>
      <c r="F204" t="b">
        <v>1</v>
      </c>
    </row>
    <row r="205" spans="1:6" x14ac:dyDescent="0.2">
      <c r="A205" s="12" t="s">
        <v>1699</v>
      </c>
      <c r="B205" s="8" t="s">
        <v>1989</v>
      </c>
      <c r="C205" s="1">
        <v>8299705288</v>
      </c>
      <c r="D205" s="11" t="s">
        <v>182</v>
      </c>
      <c r="E205" s="10">
        <v>44172</v>
      </c>
      <c r="F205" t="b">
        <v>1</v>
      </c>
    </row>
    <row r="206" spans="1:6" x14ac:dyDescent="0.2">
      <c r="A206" s="12" t="s">
        <v>1574</v>
      </c>
      <c r="B206" s="8" t="s">
        <v>1944</v>
      </c>
      <c r="C206" s="1">
        <v>1395147</v>
      </c>
      <c r="D206" s="11" t="s">
        <v>182</v>
      </c>
      <c r="E206" s="10">
        <v>43876</v>
      </c>
      <c r="F206" t="b">
        <v>1</v>
      </c>
    </row>
    <row r="207" spans="1:6" x14ac:dyDescent="0.2">
      <c r="A207" s="12" t="s">
        <v>1711</v>
      </c>
      <c r="B207" s="8" t="s">
        <v>1993</v>
      </c>
      <c r="C207" s="1">
        <v>4817194</v>
      </c>
      <c r="D207" s="11" t="s">
        <v>393</v>
      </c>
      <c r="E207" s="10">
        <v>43238</v>
      </c>
      <c r="F207" t="b">
        <v>1</v>
      </c>
    </row>
    <row r="208" spans="1:6" x14ac:dyDescent="0.2">
      <c r="A208" s="12" t="s">
        <v>1375</v>
      </c>
      <c r="B208" s="8" t="s">
        <v>1874</v>
      </c>
      <c r="C208" s="1">
        <v>8576993</v>
      </c>
      <c r="D208" s="11" t="s">
        <v>393</v>
      </c>
      <c r="E208" s="10">
        <v>43876</v>
      </c>
      <c r="F208" t="b">
        <v>1</v>
      </c>
    </row>
    <row r="209" spans="1:6" x14ac:dyDescent="0.2">
      <c r="A209" s="12" t="s">
        <v>1482</v>
      </c>
      <c r="B209" s="8" t="s">
        <v>1912</v>
      </c>
      <c r="C209" s="1">
        <v>7881885</v>
      </c>
      <c r="D209" s="11" t="s">
        <v>393</v>
      </c>
      <c r="E209" s="10">
        <v>44264</v>
      </c>
      <c r="F209" t="b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P209"/>
  <sheetViews>
    <sheetView workbookViewId="0">
      <selection activeCell="E12" sqref="E12"/>
    </sheetView>
  </sheetViews>
  <sheetFormatPr baseColWidth="10" defaultRowHeight="15" x14ac:dyDescent="0.2"/>
  <cols>
    <col min="1" max="1" width="12" bestFit="1" customWidth="1"/>
    <col min="2" max="2" width="24.33203125" bestFit="1" customWidth="1"/>
    <col min="3" max="3" width="25.83203125" bestFit="1" customWidth="1"/>
    <col min="4" max="4" width="21.83203125" bestFit="1" customWidth="1"/>
    <col min="5" max="5" width="14.1640625" bestFit="1" customWidth="1"/>
    <col min="6" max="6" width="20.33203125" bestFit="1" customWidth="1"/>
    <col min="7" max="7" width="12.6640625" bestFit="1" customWidth="1"/>
    <col min="8" max="8" width="5.1640625" bestFit="1" customWidth="1"/>
    <col min="9" max="10" width="15.6640625" bestFit="1" customWidth="1"/>
    <col min="11" max="12" width="32.1640625" bestFit="1" customWidth="1"/>
    <col min="13" max="13" width="11.83203125" bestFit="1" customWidth="1"/>
    <col min="14" max="14" width="43.83203125" bestFit="1" customWidth="1"/>
    <col min="15" max="15" width="12.1640625" bestFit="1" customWidth="1"/>
    <col min="16" max="16" width="64.1640625" bestFit="1" customWidth="1"/>
  </cols>
  <sheetData>
    <row r="1" spans="1:16" x14ac:dyDescent="0.2">
      <c r="A1" t="s">
        <v>138</v>
      </c>
      <c r="B1" t="s">
        <v>139</v>
      </c>
      <c r="C1" t="s">
        <v>140</v>
      </c>
      <c r="D1" t="s">
        <v>1341</v>
      </c>
      <c r="E1" t="s">
        <v>144</v>
      </c>
      <c r="F1" t="s">
        <v>1342</v>
      </c>
      <c r="G1" t="s">
        <v>2</v>
      </c>
      <c r="H1" t="s">
        <v>1343</v>
      </c>
      <c r="I1" t="s">
        <v>150</v>
      </c>
      <c r="J1" t="s">
        <v>151</v>
      </c>
      <c r="K1" t="s">
        <v>152</v>
      </c>
      <c r="L1" t="s">
        <v>153</v>
      </c>
      <c r="M1" t="s">
        <v>146</v>
      </c>
      <c r="N1" t="s">
        <v>6</v>
      </c>
      <c r="O1" t="s">
        <v>155</v>
      </c>
      <c r="P1" t="s">
        <v>156</v>
      </c>
    </row>
    <row r="2" spans="1:16" x14ac:dyDescent="0.2">
      <c r="A2" s="3" t="s">
        <v>1344</v>
      </c>
      <c r="B2" s="3" t="s">
        <v>1345</v>
      </c>
      <c r="C2" s="3" t="s">
        <v>1346</v>
      </c>
      <c r="D2" s="3" t="s">
        <v>760</v>
      </c>
      <c r="E2" s="4"/>
      <c r="F2" s="5">
        <v>43923</v>
      </c>
      <c r="G2" s="4">
        <v>5885178</v>
      </c>
      <c r="H2" s="9">
        <v>708</v>
      </c>
      <c r="I2" s="6">
        <v>44483.249606481484</v>
      </c>
      <c r="J2" s="6">
        <v>44391.538946759261</v>
      </c>
      <c r="K2" s="3" t="s">
        <v>184</v>
      </c>
      <c r="L2" s="3" t="s">
        <v>184</v>
      </c>
      <c r="M2" t="b">
        <v>1</v>
      </c>
      <c r="N2" s="3"/>
      <c r="O2" s="3" t="s">
        <v>170</v>
      </c>
      <c r="P2" s="3" t="s">
        <v>1347</v>
      </c>
    </row>
    <row r="3" spans="1:16" x14ac:dyDescent="0.2">
      <c r="A3" s="3" t="s">
        <v>1348</v>
      </c>
      <c r="B3" s="3" t="s">
        <v>1349</v>
      </c>
      <c r="C3" s="3" t="s">
        <v>1350</v>
      </c>
      <c r="D3" s="3" t="s">
        <v>182</v>
      </c>
      <c r="E3" s="4"/>
      <c r="F3" s="5">
        <v>44348</v>
      </c>
      <c r="G3" s="4">
        <v>8094017149</v>
      </c>
      <c r="H3" s="9">
        <v>709</v>
      </c>
      <c r="I3" s="6">
        <v>44483.289143518516</v>
      </c>
      <c r="J3" s="6">
        <v>44391.538958333331</v>
      </c>
      <c r="K3" s="3" t="s">
        <v>184</v>
      </c>
      <c r="L3" s="3" t="s">
        <v>184</v>
      </c>
      <c r="M3" t="b">
        <v>1</v>
      </c>
      <c r="N3" s="3" t="s">
        <v>84</v>
      </c>
      <c r="O3" s="3" t="s">
        <v>170</v>
      </c>
      <c r="P3" s="3" t="s">
        <v>1347</v>
      </c>
    </row>
    <row r="4" spans="1:16" x14ac:dyDescent="0.2">
      <c r="A4" s="3" t="s">
        <v>1351</v>
      </c>
      <c r="B4" s="3" t="s">
        <v>1352</v>
      </c>
      <c r="C4" s="3" t="s">
        <v>1353</v>
      </c>
      <c r="D4" s="3" t="s">
        <v>1354</v>
      </c>
      <c r="E4" s="4"/>
      <c r="F4" s="5">
        <v>44116</v>
      </c>
      <c r="G4" s="4">
        <v>5666356</v>
      </c>
      <c r="H4" s="9">
        <v>710</v>
      </c>
      <c r="I4" s="6">
        <v>44483.249606481484</v>
      </c>
      <c r="J4" s="6">
        <v>44391.538969907408</v>
      </c>
      <c r="K4" s="3" t="s">
        <v>184</v>
      </c>
      <c r="L4" s="3" t="s">
        <v>184</v>
      </c>
      <c r="M4" t="b">
        <v>1</v>
      </c>
      <c r="N4" s="3"/>
      <c r="O4" s="3" t="s">
        <v>170</v>
      </c>
      <c r="P4" s="3" t="s">
        <v>1347</v>
      </c>
    </row>
    <row r="5" spans="1:16" x14ac:dyDescent="0.2">
      <c r="A5" s="3" t="s">
        <v>547</v>
      </c>
      <c r="B5" s="3" t="s">
        <v>1355</v>
      </c>
      <c r="C5" s="3" t="s">
        <v>549</v>
      </c>
      <c r="D5" s="3" t="s">
        <v>182</v>
      </c>
      <c r="E5" s="4"/>
      <c r="F5" s="5">
        <v>44359</v>
      </c>
      <c r="G5" s="4">
        <v>8292486682</v>
      </c>
      <c r="H5" s="9">
        <v>711</v>
      </c>
      <c r="I5" s="6">
        <v>44483.249606481484</v>
      </c>
      <c r="J5" s="6">
        <v>44391.538981481484</v>
      </c>
      <c r="K5" s="3" t="s">
        <v>184</v>
      </c>
      <c r="L5" s="3" t="s">
        <v>184</v>
      </c>
      <c r="M5" t="b">
        <v>1</v>
      </c>
      <c r="N5" s="3"/>
      <c r="O5" s="3" t="s">
        <v>170</v>
      </c>
      <c r="P5" s="3" t="s">
        <v>1347</v>
      </c>
    </row>
    <row r="6" spans="1:16" x14ac:dyDescent="0.2">
      <c r="A6" s="3" t="s">
        <v>1356</v>
      </c>
      <c r="B6" s="3" t="s">
        <v>1357</v>
      </c>
      <c r="C6" s="3" t="s">
        <v>1358</v>
      </c>
      <c r="D6" s="3" t="s">
        <v>393</v>
      </c>
      <c r="E6" s="4">
        <v>17619</v>
      </c>
      <c r="F6" s="5">
        <v>44012</v>
      </c>
      <c r="G6" s="4">
        <v>8496398549</v>
      </c>
      <c r="H6" s="9">
        <v>712</v>
      </c>
      <c r="I6" s="6">
        <v>44483.249606481484</v>
      </c>
      <c r="J6" s="6">
        <v>44391.538993055554</v>
      </c>
      <c r="K6" s="3" t="s">
        <v>184</v>
      </c>
      <c r="L6" s="3" t="s">
        <v>184</v>
      </c>
      <c r="M6" t="b">
        <v>1</v>
      </c>
      <c r="N6" s="3" t="s">
        <v>60</v>
      </c>
      <c r="O6" s="3" t="s">
        <v>170</v>
      </c>
      <c r="P6" s="3" t="s">
        <v>1347</v>
      </c>
    </row>
    <row r="7" spans="1:16" x14ac:dyDescent="0.2">
      <c r="A7" s="3" t="s">
        <v>1359</v>
      </c>
      <c r="B7" s="3" t="s">
        <v>314</v>
      </c>
      <c r="C7" s="3" t="s">
        <v>1360</v>
      </c>
      <c r="D7" s="3" t="s">
        <v>182</v>
      </c>
      <c r="E7" s="4"/>
      <c r="F7" s="5">
        <v>43515</v>
      </c>
      <c r="G7" s="4">
        <v>9773168</v>
      </c>
      <c r="H7" s="9">
        <v>713</v>
      </c>
      <c r="I7" s="6">
        <v>44483.249606481484</v>
      </c>
      <c r="J7" s="6">
        <v>44391.5390162037</v>
      </c>
      <c r="K7" s="3" t="s">
        <v>184</v>
      </c>
      <c r="L7" s="3" t="s">
        <v>184</v>
      </c>
      <c r="M7" t="b">
        <v>1</v>
      </c>
      <c r="N7" s="3" t="s">
        <v>69</v>
      </c>
      <c r="O7" s="3" t="s">
        <v>170</v>
      </c>
      <c r="P7" s="3" t="s">
        <v>1347</v>
      </c>
    </row>
    <row r="8" spans="1:16" x14ac:dyDescent="0.2">
      <c r="A8" s="3" t="s">
        <v>821</v>
      </c>
      <c r="B8" s="3" t="s">
        <v>1361</v>
      </c>
      <c r="C8" s="3" t="s">
        <v>1362</v>
      </c>
      <c r="D8" s="3" t="s">
        <v>393</v>
      </c>
      <c r="E8" s="4"/>
      <c r="F8" s="5">
        <v>44357</v>
      </c>
      <c r="G8" s="4">
        <v>8293221551</v>
      </c>
      <c r="H8" s="9">
        <v>714</v>
      </c>
      <c r="I8" s="6">
        <v>44483.249606481484</v>
      </c>
      <c r="J8" s="6">
        <v>44391.539027777777</v>
      </c>
      <c r="K8" s="3" t="s">
        <v>184</v>
      </c>
      <c r="L8" s="3" t="s">
        <v>184</v>
      </c>
      <c r="M8" t="b">
        <v>1</v>
      </c>
      <c r="N8" s="3"/>
      <c r="O8" s="3" t="s">
        <v>170</v>
      </c>
      <c r="P8" s="3" t="s">
        <v>1347</v>
      </c>
    </row>
    <row r="9" spans="1:16" x14ac:dyDescent="0.2">
      <c r="A9" s="3" t="s">
        <v>1363</v>
      </c>
      <c r="B9" s="3" t="s">
        <v>1364</v>
      </c>
      <c r="C9" s="3" t="s">
        <v>1365</v>
      </c>
      <c r="D9" s="3" t="s">
        <v>393</v>
      </c>
      <c r="E9" s="4">
        <v>4910</v>
      </c>
      <c r="F9" s="5">
        <v>42544</v>
      </c>
      <c r="G9" s="4">
        <v>1777386</v>
      </c>
      <c r="H9" s="9">
        <v>715</v>
      </c>
      <c r="I9" s="6">
        <v>44483.249606481484</v>
      </c>
      <c r="J9" s="6">
        <v>44391.539039351854</v>
      </c>
      <c r="K9" s="3" t="s">
        <v>184</v>
      </c>
      <c r="L9" s="3" t="s">
        <v>184</v>
      </c>
      <c r="M9" t="b">
        <v>1</v>
      </c>
      <c r="N9" s="3" t="s">
        <v>98</v>
      </c>
      <c r="O9" s="3" t="s">
        <v>170</v>
      </c>
      <c r="P9" s="3" t="s">
        <v>1347</v>
      </c>
    </row>
    <row r="10" spans="1:16" x14ac:dyDescent="0.2">
      <c r="A10" s="3" t="s">
        <v>1366</v>
      </c>
      <c r="B10" s="3" t="s">
        <v>1367</v>
      </c>
      <c r="C10" s="3" t="s">
        <v>1368</v>
      </c>
      <c r="D10" s="3" t="s">
        <v>182</v>
      </c>
      <c r="E10" s="4"/>
      <c r="F10" s="5">
        <v>43619</v>
      </c>
      <c r="G10" s="4">
        <v>3561539</v>
      </c>
      <c r="H10" s="9">
        <v>716</v>
      </c>
      <c r="I10" s="6">
        <v>44483.249606481484</v>
      </c>
      <c r="J10" s="6">
        <v>44391.539050925923</v>
      </c>
      <c r="K10" s="3" t="s">
        <v>184</v>
      </c>
      <c r="L10" s="3" t="s">
        <v>184</v>
      </c>
      <c r="M10" t="b">
        <v>1</v>
      </c>
      <c r="N10" s="3" t="s">
        <v>101</v>
      </c>
      <c r="O10" s="3" t="s">
        <v>170</v>
      </c>
      <c r="P10" s="3" t="s">
        <v>1347</v>
      </c>
    </row>
    <row r="11" spans="1:16" x14ac:dyDescent="0.2">
      <c r="A11" s="3" t="s">
        <v>1369</v>
      </c>
      <c r="B11" s="3" t="s">
        <v>1370</v>
      </c>
      <c r="C11" s="3" t="s">
        <v>1371</v>
      </c>
      <c r="D11" s="3" t="s">
        <v>182</v>
      </c>
      <c r="E11" s="4"/>
      <c r="F11" s="5">
        <v>43768</v>
      </c>
      <c r="G11" s="4">
        <v>2536459</v>
      </c>
      <c r="H11" s="9">
        <v>717</v>
      </c>
      <c r="I11" s="6">
        <v>44483.249606481484</v>
      </c>
      <c r="J11" s="6">
        <v>44391.5390625</v>
      </c>
      <c r="K11" s="3" t="s">
        <v>184</v>
      </c>
      <c r="L11" s="3" t="s">
        <v>184</v>
      </c>
      <c r="M11" t="b">
        <v>1</v>
      </c>
      <c r="N11" s="3" t="s">
        <v>34</v>
      </c>
      <c r="O11" s="3" t="s">
        <v>170</v>
      </c>
      <c r="P11" s="3" t="s">
        <v>1347</v>
      </c>
    </row>
    <row r="12" spans="1:16" x14ac:dyDescent="0.2">
      <c r="A12" s="3" t="s">
        <v>1372</v>
      </c>
      <c r="B12" s="3" t="s">
        <v>1373</v>
      </c>
      <c r="C12" s="3" t="s">
        <v>1374</v>
      </c>
      <c r="D12" s="3" t="s">
        <v>1354</v>
      </c>
      <c r="E12" s="4">
        <v>35514</v>
      </c>
      <c r="F12" s="5">
        <v>41685</v>
      </c>
      <c r="G12" s="4">
        <v>6714778</v>
      </c>
      <c r="H12" s="9">
        <v>718</v>
      </c>
      <c r="I12" s="6">
        <v>44483.249606481484</v>
      </c>
      <c r="J12" s="6">
        <v>44391.539074074077</v>
      </c>
      <c r="K12" s="3" t="s">
        <v>184</v>
      </c>
      <c r="L12" s="3" t="s">
        <v>184</v>
      </c>
      <c r="M12" t="b">
        <v>1</v>
      </c>
      <c r="N12" s="3"/>
      <c r="O12" s="3" t="s">
        <v>170</v>
      </c>
      <c r="P12" s="3" t="s">
        <v>1347</v>
      </c>
    </row>
    <row r="13" spans="1:16" x14ac:dyDescent="0.2">
      <c r="A13" s="3" t="s">
        <v>1375</v>
      </c>
      <c r="B13" s="3" t="s">
        <v>1376</v>
      </c>
      <c r="C13" s="3" t="s">
        <v>1377</v>
      </c>
      <c r="D13" s="3" t="s">
        <v>393</v>
      </c>
      <c r="E13" s="4">
        <v>2918</v>
      </c>
      <c r="F13" s="5">
        <v>43876</v>
      </c>
      <c r="G13" s="4">
        <v>8576993</v>
      </c>
      <c r="H13" s="9">
        <v>719</v>
      </c>
      <c r="I13" s="6">
        <v>44483.249606481484</v>
      </c>
      <c r="J13" s="6">
        <v>44391.539085648146</v>
      </c>
      <c r="K13" s="3" t="s">
        <v>184</v>
      </c>
      <c r="L13" s="3" t="s">
        <v>184</v>
      </c>
      <c r="M13" t="b">
        <v>1</v>
      </c>
      <c r="N13" s="3" t="s">
        <v>98</v>
      </c>
      <c r="O13" s="3" t="s">
        <v>170</v>
      </c>
      <c r="P13" s="3" t="s">
        <v>1347</v>
      </c>
    </row>
    <row r="14" spans="1:16" x14ac:dyDescent="0.2">
      <c r="A14" s="3" t="s">
        <v>222</v>
      </c>
      <c r="B14" s="3" t="s">
        <v>1378</v>
      </c>
      <c r="C14" s="3" t="s">
        <v>1379</v>
      </c>
      <c r="D14" s="3" t="s">
        <v>182</v>
      </c>
      <c r="E14" s="4"/>
      <c r="F14" s="5">
        <v>44242</v>
      </c>
      <c r="G14" s="4">
        <v>8295570950</v>
      </c>
      <c r="H14" s="9">
        <v>720</v>
      </c>
      <c r="I14" s="6">
        <v>44483.249618055554</v>
      </c>
      <c r="J14" s="6">
        <v>44391.539097222223</v>
      </c>
      <c r="K14" s="3" t="s">
        <v>184</v>
      </c>
      <c r="L14" s="3" t="s">
        <v>184</v>
      </c>
      <c r="M14" t="b">
        <v>1</v>
      </c>
      <c r="N14" s="3" t="s">
        <v>94</v>
      </c>
      <c r="O14" s="3" t="s">
        <v>170</v>
      </c>
      <c r="P14" s="3" t="s">
        <v>1347</v>
      </c>
    </row>
    <row r="15" spans="1:16" x14ac:dyDescent="0.2">
      <c r="A15" s="3" t="s">
        <v>1380</v>
      </c>
      <c r="B15" s="3" t="s">
        <v>1381</v>
      </c>
      <c r="C15" s="3" t="s">
        <v>1382</v>
      </c>
      <c r="D15" s="3" t="s">
        <v>393</v>
      </c>
      <c r="E15" s="4">
        <v>10010</v>
      </c>
      <c r="F15" s="5">
        <v>44071</v>
      </c>
      <c r="G15" s="4">
        <v>8095692227</v>
      </c>
      <c r="H15" s="9">
        <v>721</v>
      </c>
      <c r="I15" s="6">
        <v>44483.249618055554</v>
      </c>
      <c r="J15" s="6">
        <v>44391.539120370369</v>
      </c>
      <c r="K15" s="3" t="s">
        <v>184</v>
      </c>
      <c r="L15" s="3" t="s">
        <v>184</v>
      </c>
      <c r="M15" t="b">
        <v>1</v>
      </c>
      <c r="N15" s="3" t="s">
        <v>77</v>
      </c>
      <c r="O15" s="3" t="s">
        <v>170</v>
      </c>
      <c r="P15" s="3" t="s">
        <v>1347</v>
      </c>
    </row>
    <row r="16" spans="1:16" x14ac:dyDescent="0.2">
      <c r="A16" s="3" t="s">
        <v>1383</v>
      </c>
      <c r="B16" s="3" t="s">
        <v>1384</v>
      </c>
      <c r="C16" s="3" t="s">
        <v>1385</v>
      </c>
      <c r="D16" s="3" t="s">
        <v>1354</v>
      </c>
      <c r="E16" s="4">
        <v>10450</v>
      </c>
      <c r="F16" s="5">
        <v>44137</v>
      </c>
      <c r="G16" s="4">
        <v>5294457</v>
      </c>
      <c r="H16" s="9">
        <v>722</v>
      </c>
      <c r="I16" s="6">
        <v>44483.249618055554</v>
      </c>
      <c r="J16" s="6">
        <v>44391.539131944446</v>
      </c>
      <c r="K16" s="3" t="s">
        <v>184</v>
      </c>
      <c r="L16" s="3" t="s">
        <v>184</v>
      </c>
      <c r="M16" t="b">
        <v>1</v>
      </c>
      <c r="N16" s="3" t="s">
        <v>112</v>
      </c>
      <c r="O16" s="3" t="s">
        <v>170</v>
      </c>
      <c r="P16" s="3" t="s">
        <v>1347</v>
      </c>
    </row>
    <row r="17" spans="1:16" x14ac:dyDescent="0.2">
      <c r="A17" s="3" t="s">
        <v>1386</v>
      </c>
      <c r="B17" s="3" t="s">
        <v>1387</v>
      </c>
      <c r="C17" s="3" t="s">
        <v>1388</v>
      </c>
      <c r="D17" s="3" t="s">
        <v>393</v>
      </c>
      <c r="E17" s="4">
        <v>16514</v>
      </c>
      <c r="F17" s="5">
        <v>43374</v>
      </c>
      <c r="G17" s="4">
        <v>1178821</v>
      </c>
      <c r="H17" s="9">
        <v>723</v>
      </c>
      <c r="I17" s="6">
        <v>44483.289988425924</v>
      </c>
      <c r="J17" s="6">
        <v>44391.539143518516</v>
      </c>
      <c r="K17" s="3" t="s">
        <v>184</v>
      </c>
      <c r="L17" s="3" t="s">
        <v>184</v>
      </c>
      <c r="M17" t="b">
        <v>1</v>
      </c>
      <c r="N17" s="3" t="s">
        <v>108</v>
      </c>
      <c r="O17" s="3" t="s">
        <v>170</v>
      </c>
      <c r="P17" s="3" t="s">
        <v>1347</v>
      </c>
    </row>
    <row r="18" spans="1:16" x14ac:dyDescent="0.2">
      <c r="A18" s="3" t="s">
        <v>1389</v>
      </c>
      <c r="B18" s="3" t="s">
        <v>1390</v>
      </c>
      <c r="C18" s="3" t="s">
        <v>1391</v>
      </c>
      <c r="D18" s="3" t="s">
        <v>393</v>
      </c>
      <c r="E18" s="4">
        <v>54212</v>
      </c>
      <c r="F18" s="5">
        <v>41792</v>
      </c>
      <c r="G18" s="4">
        <v>1592178</v>
      </c>
      <c r="H18" s="9">
        <v>724</v>
      </c>
      <c r="I18" s="6">
        <v>44483.249618055554</v>
      </c>
      <c r="J18" s="6">
        <v>44391.539155092592</v>
      </c>
      <c r="K18" s="3" t="s">
        <v>184</v>
      </c>
      <c r="L18" s="3" t="s">
        <v>184</v>
      </c>
      <c r="M18" t="b">
        <v>1</v>
      </c>
      <c r="N18" s="3" t="s">
        <v>48</v>
      </c>
      <c r="O18" s="3" t="s">
        <v>170</v>
      </c>
      <c r="P18" s="3" t="s">
        <v>1347</v>
      </c>
    </row>
    <row r="19" spans="1:16" x14ac:dyDescent="0.2">
      <c r="A19" s="3" t="s">
        <v>1392</v>
      </c>
      <c r="B19" s="3" t="s">
        <v>1393</v>
      </c>
      <c r="C19" s="3" t="s">
        <v>1394</v>
      </c>
      <c r="D19" s="3" t="s">
        <v>393</v>
      </c>
      <c r="E19" s="4">
        <v>18618</v>
      </c>
      <c r="F19" s="5">
        <v>43381</v>
      </c>
      <c r="G19" s="4">
        <v>5373817</v>
      </c>
      <c r="H19" s="9">
        <v>725</v>
      </c>
      <c r="I19" s="6">
        <v>44483.249618055554</v>
      </c>
      <c r="J19" s="6">
        <v>44391.539166666669</v>
      </c>
      <c r="K19" s="3" t="s">
        <v>184</v>
      </c>
      <c r="L19" s="3" t="s">
        <v>184</v>
      </c>
      <c r="M19" t="b">
        <v>1</v>
      </c>
      <c r="N19" s="3" t="s">
        <v>102</v>
      </c>
      <c r="O19" s="3" t="s">
        <v>170</v>
      </c>
      <c r="P19" s="3" t="s">
        <v>1347</v>
      </c>
    </row>
    <row r="20" spans="1:16" x14ac:dyDescent="0.2">
      <c r="A20" s="3" t="s">
        <v>792</v>
      </c>
      <c r="B20" s="3" t="s">
        <v>793</v>
      </c>
      <c r="C20" s="3" t="s">
        <v>794</v>
      </c>
      <c r="D20" s="3" t="s">
        <v>393</v>
      </c>
      <c r="E20" s="4"/>
      <c r="F20" s="5">
        <v>44368</v>
      </c>
      <c r="G20" s="4">
        <v>8099190931</v>
      </c>
      <c r="H20" s="9">
        <v>726</v>
      </c>
      <c r="I20" s="6">
        <v>44483.291909722226</v>
      </c>
      <c r="J20" s="6">
        <v>44391.539178240739</v>
      </c>
      <c r="K20" s="3" t="s">
        <v>184</v>
      </c>
      <c r="L20" s="3" t="s">
        <v>184</v>
      </c>
      <c r="M20" t="b">
        <v>1</v>
      </c>
      <c r="N20" s="3" t="s">
        <v>98</v>
      </c>
      <c r="O20" s="3" t="s">
        <v>170</v>
      </c>
      <c r="P20" s="3" t="s">
        <v>1347</v>
      </c>
    </row>
    <row r="21" spans="1:16" x14ac:dyDescent="0.2">
      <c r="A21" s="3" t="s">
        <v>1395</v>
      </c>
      <c r="B21" s="3" t="s">
        <v>1396</v>
      </c>
      <c r="C21" s="3" t="s">
        <v>1397</v>
      </c>
      <c r="D21" s="3" t="s">
        <v>182</v>
      </c>
      <c r="E21" s="4"/>
      <c r="F21" s="5">
        <v>44282</v>
      </c>
      <c r="G21" s="4">
        <v>8095149406</v>
      </c>
      <c r="H21" s="9">
        <v>727</v>
      </c>
      <c r="I21" s="6">
        <v>44483.249618055554</v>
      </c>
      <c r="J21" s="6">
        <v>44391.539189814815</v>
      </c>
      <c r="K21" s="3" t="s">
        <v>184</v>
      </c>
      <c r="L21" s="3" t="s">
        <v>184</v>
      </c>
      <c r="M21" t="b">
        <v>1</v>
      </c>
      <c r="N21" s="3" t="s">
        <v>121</v>
      </c>
      <c r="O21" s="3" t="s">
        <v>170</v>
      </c>
      <c r="P21" s="3" t="s">
        <v>1347</v>
      </c>
    </row>
    <row r="22" spans="1:16" x14ac:dyDescent="0.2">
      <c r="A22" s="3" t="s">
        <v>198</v>
      </c>
      <c r="B22" s="3" t="s">
        <v>199</v>
      </c>
      <c r="C22" s="3" t="s">
        <v>1398</v>
      </c>
      <c r="D22" s="3" t="s">
        <v>182</v>
      </c>
      <c r="E22" s="4"/>
      <c r="F22" s="5">
        <v>44331</v>
      </c>
      <c r="G22" s="4">
        <v>8299400114</v>
      </c>
      <c r="H22" s="9">
        <v>728</v>
      </c>
      <c r="I22" s="6">
        <v>44483.249618055554</v>
      </c>
      <c r="J22" s="6">
        <v>44391.539201388892</v>
      </c>
      <c r="K22" s="3" t="s">
        <v>184</v>
      </c>
      <c r="L22" s="3" t="s">
        <v>184</v>
      </c>
      <c r="M22" t="b">
        <v>1</v>
      </c>
      <c r="N22" s="3" t="s">
        <v>81</v>
      </c>
      <c r="O22" s="3" t="s">
        <v>170</v>
      </c>
      <c r="P22" s="3" t="s">
        <v>1347</v>
      </c>
    </row>
    <row r="23" spans="1:16" x14ac:dyDescent="0.2">
      <c r="A23" s="3" t="s">
        <v>540</v>
      </c>
      <c r="B23" s="3" t="s">
        <v>1399</v>
      </c>
      <c r="C23" s="3" t="s">
        <v>1400</v>
      </c>
      <c r="D23" s="3" t="s">
        <v>393</v>
      </c>
      <c r="E23" s="4"/>
      <c r="F23" s="5">
        <v>44320</v>
      </c>
      <c r="G23" s="4">
        <v>8296166727</v>
      </c>
      <c r="H23" s="9">
        <v>729</v>
      </c>
      <c r="I23" s="6">
        <v>44483.249618055554</v>
      </c>
      <c r="J23" s="6">
        <v>44391.539212962962</v>
      </c>
      <c r="K23" s="3" t="s">
        <v>184</v>
      </c>
      <c r="L23" s="3" t="s">
        <v>184</v>
      </c>
      <c r="M23" t="b">
        <v>1</v>
      </c>
      <c r="N23" s="3" t="s">
        <v>74</v>
      </c>
      <c r="O23" s="3" t="s">
        <v>170</v>
      </c>
      <c r="P23" s="3" t="s">
        <v>1347</v>
      </c>
    </row>
    <row r="24" spans="1:16" x14ac:dyDescent="0.2">
      <c r="A24" s="3" t="s">
        <v>1401</v>
      </c>
      <c r="B24" s="3" t="s">
        <v>1402</v>
      </c>
      <c r="C24" s="3" t="s">
        <v>1403</v>
      </c>
      <c r="D24" s="3" t="s">
        <v>182</v>
      </c>
      <c r="E24" s="4"/>
      <c r="F24" s="5">
        <v>44166</v>
      </c>
      <c r="G24" s="4">
        <v>8095027410</v>
      </c>
      <c r="H24" s="9">
        <v>730</v>
      </c>
      <c r="I24" s="6">
        <v>44483.249618055554</v>
      </c>
      <c r="J24" s="6">
        <v>44391.539224537039</v>
      </c>
      <c r="K24" s="3" t="s">
        <v>184</v>
      </c>
      <c r="L24" s="3" t="s">
        <v>184</v>
      </c>
      <c r="M24" t="b">
        <v>1</v>
      </c>
      <c r="N24" s="3" t="s">
        <v>52</v>
      </c>
      <c r="O24" s="3" t="s">
        <v>170</v>
      </c>
      <c r="P24" s="3" t="s">
        <v>1347</v>
      </c>
    </row>
    <row r="25" spans="1:16" x14ac:dyDescent="0.2">
      <c r="A25" s="3" t="s">
        <v>1404</v>
      </c>
      <c r="B25" s="3" t="s">
        <v>1405</v>
      </c>
      <c r="C25" s="3" t="s">
        <v>1406</v>
      </c>
      <c r="D25" s="3" t="s">
        <v>393</v>
      </c>
      <c r="E25" s="4">
        <v>4805</v>
      </c>
      <c r="F25" s="5">
        <v>43844</v>
      </c>
      <c r="G25" s="4">
        <v>2127691</v>
      </c>
      <c r="H25" s="9">
        <v>731</v>
      </c>
      <c r="I25" s="6">
        <v>44483.249618055554</v>
      </c>
      <c r="J25" s="6">
        <v>44391.539236111108</v>
      </c>
      <c r="K25" s="3" t="s">
        <v>184</v>
      </c>
      <c r="L25" s="3" t="s">
        <v>184</v>
      </c>
      <c r="M25" t="b">
        <v>1</v>
      </c>
      <c r="N25" s="3" t="s">
        <v>35</v>
      </c>
      <c r="O25" s="3" t="s">
        <v>170</v>
      </c>
      <c r="P25" s="3" t="s">
        <v>1347</v>
      </c>
    </row>
    <row r="26" spans="1:16" x14ac:dyDescent="0.2">
      <c r="A26" s="3" t="s">
        <v>1407</v>
      </c>
      <c r="B26" s="3" t="s">
        <v>1408</v>
      </c>
      <c r="C26" s="3" t="s">
        <v>1409</v>
      </c>
      <c r="D26" s="3" t="s">
        <v>393</v>
      </c>
      <c r="E26" s="4"/>
      <c r="F26" s="5">
        <v>43831</v>
      </c>
      <c r="G26" s="4">
        <v>2982829</v>
      </c>
      <c r="H26" s="9">
        <v>732</v>
      </c>
      <c r="I26" s="6">
        <v>44483.249618055554</v>
      </c>
      <c r="J26" s="6">
        <v>44391.539247685185</v>
      </c>
      <c r="K26" s="3" t="s">
        <v>184</v>
      </c>
      <c r="L26" s="3" t="s">
        <v>184</v>
      </c>
      <c r="M26" t="b">
        <v>1</v>
      </c>
      <c r="N26" s="3"/>
      <c r="O26" s="3" t="s">
        <v>170</v>
      </c>
      <c r="P26" s="3" t="s">
        <v>1347</v>
      </c>
    </row>
    <row r="27" spans="1:16" x14ac:dyDescent="0.2">
      <c r="A27" s="3" t="s">
        <v>1410</v>
      </c>
      <c r="B27" s="3" t="s">
        <v>1411</v>
      </c>
      <c r="C27" s="3" t="s">
        <v>1412</v>
      </c>
      <c r="D27" s="3" t="s">
        <v>182</v>
      </c>
      <c r="E27" s="4"/>
      <c r="F27" s="5">
        <v>41007</v>
      </c>
      <c r="G27" s="4">
        <v>9353846</v>
      </c>
      <c r="H27" s="9">
        <v>733</v>
      </c>
      <c r="I27" s="6">
        <v>44483.249618055554</v>
      </c>
      <c r="J27" s="6">
        <v>44391.539259259262</v>
      </c>
      <c r="K27" s="3" t="s">
        <v>184</v>
      </c>
      <c r="L27" s="3" t="s">
        <v>184</v>
      </c>
      <c r="M27" t="b">
        <v>1</v>
      </c>
      <c r="N27" s="3" t="s">
        <v>94</v>
      </c>
      <c r="O27" s="3" t="s">
        <v>170</v>
      </c>
      <c r="P27" s="3" t="s">
        <v>1347</v>
      </c>
    </row>
    <row r="28" spans="1:16" x14ac:dyDescent="0.2">
      <c r="A28" s="3" t="s">
        <v>1413</v>
      </c>
      <c r="B28" s="3" t="s">
        <v>1414</v>
      </c>
      <c r="C28" s="3" t="s">
        <v>1415</v>
      </c>
      <c r="D28" s="3" t="s">
        <v>182</v>
      </c>
      <c r="E28" s="4"/>
      <c r="F28" s="5">
        <v>41792</v>
      </c>
      <c r="G28" s="4">
        <v>2213169</v>
      </c>
      <c r="H28" s="9">
        <v>734</v>
      </c>
      <c r="I28" s="6">
        <v>44483.249618055554</v>
      </c>
      <c r="J28" s="6">
        <v>44391.539270833331</v>
      </c>
      <c r="K28" s="3" t="s">
        <v>184</v>
      </c>
      <c r="L28" s="3" t="s">
        <v>184</v>
      </c>
      <c r="M28" t="b">
        <v>1</v>
      </c>
      <c r="N28" s="3" t="s">
        <v>54</v>
      </c>
      <c r="O28" s="3" t="s">
        <v>170</v>
      </c>
      <c r="P28" s="3" t="s">
        <v>1347</v>
      </c>
    </row>
    <row r="29" spans="1:16" x14ac:dyDescent="0.2">
      <c r="A29" s="3" t="s">
        <v>428</v>
      </c>
      <c r="B29" s="3" t="s">
        <v>1416</v>
      </c>
      <c r="C29" s="3" t="s">
        <v>1417</v>
      </c>
      <c r="D29" s="3" t="s">
        <v>393</v>
      </c>
      <c r="E29" s="4">
        <v>42817</v>
      </c>
      <c r="F29" s="5">
        <v>44228</v>
      </c>
      <c r="G29" s="4">
        <v>8098464322</v>
      </c>
      <c r="H29" s="9">
        <v>735</v>
      </c>
      <c r="I29" s="6">
        <v>44483.24962962963</v>
      </c>
      <c r="J29" s="6">
        <v>44391.539282407408</v>
      </c>
      <c r="K29" s="3" t="s">
        <v>184</v>
      </c>
      <c r="L29" s="3" t="s">
        <v>184</v>
      </c>
      <c r="M29" t="b">
        <v>1</v>
      </c>
      <c r="N29" s="3" t="s">
        <v>58</v>
      </c>
      <c r="O29" s="3" t="s">
        <v>170</v>
      </c>
      <c r="P29" s="3" t="s">
        <v>1347</v>
      </c>
    </row>
    <row r="30" spans="1:16" x14ac:dyDescent="0.2">
      <c r="A30" s="3" t="s">
        <v>1418</v>
      </c>
      <c r="B30" s="3" t="s">
        <v>1419</v>
      </c>
      <c r="C30" s="3" t="s">
        <v>1420</v>
      </c>
      <c r="D30" s="3" t="s">
        <v>1354</v>
      </c>
      <c r="E30" s="4"/>
      <c r="F30" s="5">
        <v>44309</v>
      </c>
      <c r="G30" s="4">
        <v>8098522036</v>
      </c>
      <c r="H30" s="9">
        <v>736</v>
      </c>
      <c r="I30" s="6">
        <v>44483.24962962963</v>
      </c>
      <c r="J30" s="6">
        <v>44391.539293981485</v>
      </c>
      <c r="K30" s="3" t="s">
        <v>184</v>
      </c>
      <c r="L30" s="3" t="s">
        <v>184</v>
      </c>
      <c r="M30" t="b">
        <v>1</v>
      </c>
      <c r="N30" s="3"/>
      <c r="O30" s="3" t="s">
        <v>170</v>
      </c>
      <c r="P30" s="3" t="s">
        <v>1347</v>
      </c>
    </row>
    <row r="31" spans="1:16" x14ac:dyDescent="0.2">
      <c r="A31" s="3" t="s">
        <v>499</v>
      </c>
      <c r="B31" s="3" t="s">
        <v>500</v>
      </c>
      <c r="C31" s="3" t="s">
        <v>501</v>
      </c>
      <c r="D31" s="3" t="s">
        <v>393</v>
      </c>
      <c r="E31" s="4">
        <v>70020</v>
      </c>
      <c r="F31" s="5">
        <v>44277</v>
      </c>
      <c r="G31" s="4">
        <v>8294366625</v>
      </c>
      <c r="H31" s="9">
        <v>737</v>
      </c>
      <c r="I31" s="6">
        <v>44483.24962962963</v>
      </c>
      <c r="J31" s="6">
        <v>44391.539305555554</v>
      </c>
      <c r="K31" s="3" t="s">
        <v>184</v>
      </c>
      <c r="L31" s="3" t="s">
        <v>184</v>
      </c>
      <c r="M31" t="b">
        <v>1</v>
      </c>
      <c r="N31" s="3" t="s">
        <v>63</v>
      </c>
      <c r="O31" s="3" t="s">
        <v>170</v>
      </c>
      <c r="P31" s="3" t="s">
        <v>1347</v>
      </c>
    </row>
    <row r="32" spans="1:16" x14ac:dyDescent="0.2">
      <c r="A32" s="3" t="s">
        <v>1421</v>
      </c>
      <c r="B32" s="3" t="s">
        <v>1422</v>
      </c>
      <c r="C32" s="3" t="s">
        <v>1423</v>
      </c>
      <c r="D32" s="3" t="s">
        <v>393</v>
      </c>
      <c r="E32" s="4"/>
      <c r="F32" s="5">
        <v>44356</v>
      </c>
      <c r="G32" s="4">
        <v>7235684</v>
      </c>
      <c r="H32" s="9">
        <v>738</v>
      </c>
      <c r="I32" s="6">
        <v>44483.24962962963</v>
      </c>
      <c r="J32" s="6">
        <v>44391.539317129631</v>
      </c>
      <c r="K32" s="3" t="s">
        <v>184</v>
      </c>
      <c r="L32" s="3" t="s">
        <v>184</v>
      </c>
      <c r="M32" t="b">
        <v>1</v>
      </c>
      <c r="N32" s="3"/>
      <c r="O32" s="3" t="s">
        <v>170</v>
      </c>
      <c r="P32" s="3" t="s">
        <v>1347</v>
      </c>
    </row>
    <row r="33" spans="1:16" x14ac:dyDescent="0.2">
      <c r="A33" s="3" t="s">
        <v>1424</v>
      </c>
      <c r="B33" s="3" t="s">
        <v>1425</v>
      </c>
      <c r="C33" s="3" t="s">
        <v>1426</v>
      </c>
      <c r="D33" s="3" t="s">
        <v>182</v>
      </c>
      <c r="E33" s="4"/>
      <c r="F33" s="5">
        <v>40238</v>
      </c>
      <c r="G33" s="4">
        <v>8782763</v>
      </c>
      <c r="H33" s="9">
        <v>739</v>
      </c>
      <c r="I33" s="6">
        <v>44483.24962962963</v>
      </c>
      <c r="J33" s="6">
        <v>44391.5393287037</v>
      </c>
      <c r="K33" s="3" t="s">
        <v>184</v>
      </c>
      <c r="L33" s="3" t="s">
        <v>184</v>
      </c>
      <c r="M33" t="b">
        <v>1</v>
      </c>
      <c r="N33" s="3" t="s">
        <v>68</v>
      </c>
      <c r="O33" s="3" t="s">
        <v>170</v>
      </c>
      <c r="P33" s="3" t="s">
        <v>1347</v>
      </c>
    </row>
    <row r="34" spans="1:16" x14ac:dyDescent="0.2">
      <c r="A34" s="3" t="s">
        <v>1427</v>
      </c>
      <c r="B34" s="3" t="s">
        <v>158</v>
      </c>
      <c r="C34" s="3" t="s">
        <v>1428</v>
      </c>
      <c r="D34" s="3" t="s">
        <v>182</v>
      </c>
      <c r="E34" s="4"/>
      <c r="F34" s="5">
        <v>41275</v>
      </c>
      <c r="G34" s="4">
        <v>8099653574</v>
      </c>
      <c r="H34" s="9">
        <v>740</v>
      </c>
      <c r="I34" s="6">
        <v>44483.24962962963</v>
      </c>
      <c r="J34" s="6">
        <v>44391.539351851854</v>
      </c>
      <c r="K34" s="3" t="s">
        <v>184</v>
      </c>
      <c r="L34" s="3" t="s">
        <v>184</v>
      </c>
      <c r="M34" t="b">
        <v>1</v>
      </c>
      <c r="N34" s="3" t="s">
        <v>32</v>
      </c>
      <c r="O34" s="3" t="s">
        <v>170</v>
      </c>
      <c r="P34" s="3" t="s">
        <v>1347</v>
      </c>
    </row>
    <row r="35" spans="1:16" x14ac:dyDescent="0.2">
      <c r="A35" s="3" t="s">
        <v>1429</v>
      </c>
      <c r="B35" s="3" t="s">
        <v>1430</v>
      </c>
      <c r="C35" s="3" t="s">
        <v>1431</v>
      </c>
      <c r="D35" s="3" t="s">
        <v>393</v>
      </c>
      <c r="E35" s="4">
        <v>5017</v>
      </c>
      <c r="F35" s="5">
        <v>42887</v>
      </c>
      <c r="G35" s="4">
        <v>8297182436</v>
      </c>
      <c r="H35" s="9">
        <v>741</v>
      </c>
      <c r="I35" s="6">
        <v>44483.24962962963</v>
      </c>
      <c r="J35" s="6">
        <v>44391.539375</v>
      </c>
      <c r="K35" s="3" t="s">
        <v>184</v>
      </c>
      <c r="L35" s="3" t="s">
        <v>184</v>
      </c>
      <c r="M35" t="b">
        <v>1</v>
      </c>
      <c r="N35" s="3"/>
      <c r="O35" s="3" t="s">
        <v>170</v>
      </c>
      <c r="P35" s="3" t="s">
        <v>1347</v>
      </c>
    </row>
    <row r="36" spans="1:16" x14ac:dyDescent="0.2">
      <c r="A36" s="3" t="s">
        <v>1432</v>
      </c>
      <c r="B36" s="3" t="s">
        <v>1433</v>
      </c>
      <c r="C36" s="3" t="s">
        <v>1434</v>
      </c>
      <c r="D36" s="3" t="s">
        <v>393</v>
      </c>
      <c r="E36" s="4">
        <v>42118</v>
      </c>
      <c r="F36" s="5">
        <v>44193</v>
      </c>
      <c r="G36" s="4">
        <v>4116449</v>
      </c>
      <c r="H36" s="9">
        <v>742</v>
      </c>
      <c r="I36" s="6">
        <v>44483.24962962963</v>
      </c>
      <c r="J36" s="6">
        <v>44391.539386574077</v>
      </c>
      <c r="K36" s="3" t="s">
        <v>184</v>
      </c>
      <c r="L36" s="3" t="s">
        <v>184</v>
      </c>
      <c r="M36" t="b">
        <v>1</v>
      </c>
      <c r="N36" s="3" t="s">
        <v>53</v>
      </c>
      <c r="O36" s="3" t="s">
        <v>170</v>
      </c>
      <c r="P36" s="3" t="s">
        <v>1347</v>
      </c>
    </row>
    <row r="37" spans="1:16" x14ac:dyDescent="0.2">
      <c r="A37" s="3" t="s">
        <v>1435</v>
      </c>
      <c r="B37" s="3" t="s">
        <v>1436</v>
      </c>
      <c r="C37" s="3" t="s">
        <v>1437</v>
      </c>
      <c r="D37" s="3" t="s">
        <v>182</v>
      </c>
      <c r="E37" s="4">
        <v>2918</v>
      </c>
      <c r="F37" s="5">
        <v>43801</v>
      </c>
      <c r="G37" s="4">
        <v>8295225518</v>
      </c>
      <c r="H37" s="9">
        <v>743</v>
      </c>
      <c r="I37" s="6">
        <v>44483.24962962963</v>
      </c>
      <c r="J37" s="6">
        <v>44391.539398148147</v>
      </c>
      <c r="K37" s="3" t="s">
        <v>184</v>
      </c>
      <c r="L37" s="3" t="s">
        <v>184</v>
      </c>
      <c r="M37" t="b">
        <v>1</v>
      </c>
      <c r="N37" s="3" t="s">
        <v>105</v>
      </c>
      <c r="O37" s="3" t="s">
        <v>170</v>
      </c>
      <c r="P37" s="3" t="s">
        <v>1347</v>
      </c>
    </row>
    <row r="38" spans="1:16" x14ac:dyDescent="0.2">
      <c r="A38" s="3" t="s">
        <v>1438</v>
      </c>
      <c r="B38" s="3" t="s">
        <v>1439</v>
      </c>
      <c r="C38" s="3" t="s">
        <v>1440</v>
      </c>
      <c r="D38" s="3" t="s">
        <v>182</v>
      </c>
      <c r="E38" s="4"/>
      <c r="F38" s="5">
        <v>41526</v>
      </c>
      <c r="G38" s="4">
        <v>1624573</v>
      </c>
      <c r="H38" s="9">
        <v>744</v>
      </c>
      <c r="I38" s="6">
        <v>44483.24962962963</v>
      </c>
      <c r="J38" s="6">
        <v>44391.539409722223</v>
      </c>
      <c r="K38" s="3" t="s">
        <v>184</v>
      </c>
      <c r="L38" s="3" t="s">
        <v>184</v>
      </c>
      <c r="M38" t="b">
        <v>1</v>
      </c>
      <c r="N38" s="3" t="s">
        <v>60</v>
      </c>
      <c r="O38" s="3" t="s">
        <v>170</v>
      </c>
      <c r="P38" s="3" t="s">
        <v>1347</v>
      </c>
    </row>
    <row r="39" spans="1:16" x14ac:dyDescent="0.2">
      <c r="A39" s="3" t="s">
        <v>1441</v>
      </c>
      <c r="B39" s="3" t="s">
        <v>1442</v>
      </c>
      <c r="C39" s="3" t="s">
        <v>1443</v>
      </c>
      <c r="D39" s="3" t="s">
        <v>182</v>
      </c>
      <c r="E39" s="4"/>
      <c r="F39" s="5">
        <v>44256</v>
      </c>
      <c r="G39" s="4">
        <v>8299375762</v>
      </c>
      <c r="H39" s="9">
        <v>745</v>
      </c>
      <c r="I39" s="6">
        <v>44483.24962962963</v>
      </c>
      <c r="J39" s="6">
        <v>44391.539421296293</v>
      </c>
      <c r="K39" s="3" t="s">
        <v>184</v>
      </c>
      <c r="L39" s="3" t="s">
        <v>184</v>
      </c>
      <c r="M39" t="b">
        <v>1</v>
      </c>
      <c r="N39" s="3" t="s">
        <v>121</v>
      </c>
      <c r="O39" s="3" t="s">
        <v>170</v>
      </c>
      <c r="P39" s="3" t="s">
        <v>1347</v>
      </c>
    </row>
    <row r="40" spans="1:16" x14ac:dyDescent="0.2">
      <c r="A40" s="3" t="s">
        <v>1444</v>
      </c>
      <c r="B40" s="3" t="s">
        <v>1445</v>
      </c>
      <c r="C40" s="3" t="s">
        <v>1446</v>
      </c>
      <c r="D40" s="3" t="s">
        <v>182</v>
      </c>
      <c r="E40" s="4"/>
      <c r="F40" s="5">
        <v>42745</v>
      </c>
      <c r="G40" s="4">
        <v>8294914048</v>
      </c>
      <c r="H40" s="9">
        <v>746</v>
      </c>
      <c r="I40" s="6">
        <v>44483.24962962963</v>
      </c>
      <c r="J40" s="6">
        <v>44391.53943287037</v>
      </c>
      <c r="K40" s="3" t="s">
        <v>184</v>
      </c>
      <c r="L40" s="3" t="s">
        <v>184</v>
      </c>
      <c r="M40" t="b">
        <v>1</v>
      </c>
      <c r="N40" s="3" t="s">
        <v>61</v>
      </c>
      <c r="O40" s="3" t="s">
        <v>170</v>
      </c>
      <c r="P40" s="3" t="s">
        <v>1347</v>
      </c>
    </row>
    <row r="41" spans="1:16" x14ac:dyDescent="0.2">
      <c r="A41" s="3" t="s">
        <v>1447</v>
      </c>
      <c r="B41" s="3" t="s">
        <v>1448</v>
      </c>
      <c r="C41" s="3" t="s">
        <v>1449</v>
      </c>
      <c r="D41" s="3" t="s">
        <v>182</v>
      </c>
      <c r="E41" s="4">
        <v>45619</v>
      </c>
      <c r="F41" s="5">
        <v>41089</v>
      </c>
      <c r="G41" s="4">
        <v>3459632</v>
      </c>
      <c r="H41" s="9">
        <v>747</v>
      </c>
      <c r="I41" s="6">
        <v>44483.249641203707</v>
      </c>
      <c r="J41" s="6">
        <v>44391.539444444446</v>
      </c>
      <c r="K41" s="3" t="s">
        <v>184</v>
      </c>
      <c r="L41" s="3" t="s">
        <v>184</v>
      </c>
      <c r="M41" t="b">
        <v>1</v>
      </c>
      <c r="N41" s="3" t="s">
        <v>68</v>
      </c>
      <c r="O41" s="3" t="s">
        <v>170</v>
      </c>
      <c r="P41" s="3" t="s">
        <v>1347</v>
      </c>
    </row>
    <row r="42" spans="1:16" x14ac:dyDescent="0.2">
      <c r="A42" s="3" t="s">
        <v>1450</v>
      </c>
      <c r="B42" s="3" t="s">
        <v>793</v>
      </c>
      <c r="C42" s="3" t="s">
        <v>1451</v>
      </c>
      <c r="D42" s="3" t="s">
        <v>393</v>
      </c>
      <c r="E42" s="4">
        <v>75011</v>
      </c>
      <c r="F42" s="5">
        <v>43395</v>
      </c>
      <c r="G42" s="4">
        <v>3732194</v>
      </c>
      <c r="H42" s="9">
        <v>748</v>
      </c>
      <c r="I42" s="6">
        <v>44483.249641203707</v>
      </c>
      <c r="J42" s="6">
        <v>44391.539456018516</v>
      </c>
      <c r="K42" s="3" t="s">
        <v>184</v>
      </c>
      <c r="L42" s="3" t="s">
        <v>184</v>
      </c>
      <c r="M42" t="b">
        <v>1</v>
      </c>
      <c r="N42" s="3" t="s">
        <v>76</v>
      </c>
      <c r="O42" s="3" t="s">
        <v>170</v>
      </c>
      <c r="P42" s="3" t="s">
        <v>1347</v>
      </c>
    </row>
    <row r="43" spans="1:16" x14ac:dyDescent="0.2">
      <c r="A43" s="3" t="s">
        <v>1452</v>
      </c>
      <c r="B43" s="3" t="s">
        <v>1453</v>
      </c>
      <c r="C43" s="3" t="s">
        <v>1454</v>
      </c>
      <c r="D43" s="3" t="s">
        <v>393</v>
      </c>
      <c r="E43" s="4">
        <v>10120</v>
      </c>
      <c r="F43" s="5">
        <v>44172</v>
      </c>
      <c r="G43" s="4">
        <v>8299591889</v>
      </c>
      <c r="H43" s="9">
        <v>749</v>
      </c>
      <c r="I43" s="6">
        <v>44483.249641203707</v>
      </c>
      <c r="J43" s="6">
        <v>44391.539467592593</v>
      </c>
      <c r="K43" s="3" t="s">
        <v>184</v>
      </c>
      <c r="L43" s="3" t="s">
        <v>184</v>
      </c>
      <c r="M43" t="b">
        <v>1</v>
      </c>
      <c r="N43" s="3" t="s">
        <v>48</v>
      </c>
      <c r="O43" s="3" t="s">
        <v>170</v>
      </c>
      <c r="P43" s="3" t="s">
        <v>1347</v>
      </c>
    </row>
    <row r="44" spans="1:16" x14ac:dyDescent="0.2">
      <c r="A44" s="3" t="s">
        <v>1455</v>
      </c>
      <c r="B44" s="3" t="s">
        <v>1456</v>
      </c>
      <c r="C44" s="3" t="s">
        <v>1457</v>
      </c>
      <c r="D44" s="3" t="s">
        <v>182</v>
      </c>
      <c r="E44" s="4"/>
      <c r="F44" s="5">
        <v>43831</v>
      </c>
      <c r="G44" s="4">
        <v>1557645</v>
      </c>
      <c r="H44" s="9">
        <v>750</v>
      </c>
      <c r="I44" s="6">
        <v>44483.249641203707</v>
      </c>
      <c r="J44" s="6">
        <v>44391.539479166669</v>
      </c>
      <c r="K44" s="3" t="s">
        <v>184</v>
      </c>
      <c r="L44" s="3" t="s">
        <v>184</v>
      </c>
      <c r="M44" t="b">
        <v>1</v>
      </c>
      <c r="N44" s="3"/>
      <c r="O44" s="3" t="s">
        <v>170</v>
      </c>
      <c r="P44" s="3" t="s">
        <v>1347</v>
      </c>
    </row>
    <row r="45" spans="1:16" x14ac:dyDescent="0.2">
      <c r="A45" s="3" t="s">
        <v>1458</v>
      </c>
      <c r="B45" s="3" t="s">
        <v>1459</v>
      </c>
      <c r="C45" s="3" t="s">
        <v>1460</v>
      </c>
      <c r="D45" s="3" t="s">
        <v>393</v>
      </c>
      <c r="E45" s="4">
        <v>9817</v>
      </c>
      <c r="F45" s="5">
        <v>44159</v>
      </c>
      <c r="G45" s="4">
        <v>3225429</v>
      </c>
      <c r="H45" s="9">
        <v>751</v>
      </c>
      <c r="I45" s="6">
        <v>44483.249641203707</v>
      </c>
      <c r="J45" s="6">
        <v>44391.539490740739</v>
      </c>
      <c r="K45" s="3" t="s">
        <v>184</v>
      </c>
      <c r="L45" s="3" t="s">
        <v>184</v>
      </c>
      <c r="M45" t="b">
        <v>1</v>
      </c>
      <c r="N45" s="3" t="s">
        <v>109</v>
      </c>
      <c r="O45" s="3" t="s">
        <v>170</v>
      </c>
      <c r="P45" s="3" t="s">
        <v>1347</v>
      </c>
    </row>
    <row r="46" spans="1:16" x14ac:dyDescent="0.2">
      <c r="A46" s="3" t="s">
        <v>1461</v>
      </c>
      <c r="B46" s="3" t="s">
        <v>1462</v>
      </c>
      <c r="C46" s="3" t="s">
        <v>1463</v>
      </c>
      <c r="D46" s="3" t="s">
        <v>760</v>
      </c>
      <c r="E46" s="4">
        <v>56696</v>
      </c>
      <c r="F46" s="5">
        <v>39736</v>
      </c>
      <c r="G46" s="4">
        <v>3489434</v>
      </c>
      <c r="H46" s="9">
        <v>752</v>
      </c>
      <c r="I46" s="6">
        <v>44483.249641203707</v>
      </c>
      <c r="J46" s="6">
        <v>44391.539502314816</v>
      </c>
      <c r="K46" s="3" t="s">
        <v>184</v>
      </c>
      <c r="L46" s="3" t="s">
        <v>184</v>
      </c>
      <c r="M46" t="b">
        <v>1</v>
      </c>
      <c r="N46" s="3" t="s">
        <v>62</v>
      </c>
      <c r="O46" s="3" t="s">
        <v>170</v>
      </c>
      <c r="P46" s="3" t="s">
        <v>1347</v>
      </c>
    </row>
    <row r="47" spans="1:16" x14ac:dyDescent="0.2">
      <c r="A47" s="3" t="s">
        <v>1464</v>
      </c>
      <c r="B47" s="3" t="s">
        <v>1465</v>
      </c>
      <c r="C47" s="3" t="s">
        <v>1466</v>
      </c>
      <c r="D47" s="3" t="s">
        <v>393</v>
      </c>
      <c r="E47" s="4">
        <v>45619</v>
      </c>
      <c r="F47" s="5">
        <v>44301</v>
      </c>
      <c r="G47" s="4">
        <v>8092973650</v>
      </c>
      <c r="H47" s="9">
        <v>753</v>
      </c>
      <c r="I47" s="6">
        <v>44483.249641203707</v>
      </c>
      <c r="J47" s="6">
        <v>44391.539513888885</v>
      </c>
      <c r="K47" s="3" t="s">
        <v>184</v>
      </c>
      <c r="L47" s="3" t="s">
        <v>184</v>
      </c>
      <c r="M47" t="b">
        <v>1</v>
      </c>
      <c r="N47" s="3" t="s">
        <v>109</v>
      </c>
      <c r="O47" s="3" t="s">
        <v>170</v>
      </c>
      <c r="P47" s="3" t="s">
        <v>1347</v>
      </c>
    </row>
    <row r="48" spans="1:16" x14ac:dyDescent="0.2">
      <c r="A48" s="3" t="s">
        <v>1467</v>
      </c>
      <c r="B48" s="3" t="s">
        <v>1468</v>
      </c>
      <c r="C48" s="3" t="s">
        <v>1469</v>
      </c>
      <c r="D48" s="3" t="s">
        <v>393</v>
      </c>
      <c r="E48" s="4">
        <v>36616</v>
      </c>
      <c r="F48" s="5">
        <v>43374</v>
      </c>
      <c r="G48" s="4">
        <v>4898229</v>
      </c>
      <c r="H48" s="9">
        <v>754</v>
      </c>
      <c r="I48" s="6">
        <v>44483.249641203707</v>
      </c>
      <c r="J48" s="6">
        <v>44391.539525462962</v>
      </c>
      <c r="K48" s="3" t="s">
        <v>184</v>
      </c>
      <c r="L48" s="3" t="s">
        <v>184</v>
      </c>
      <c r="M48" t="b">
        <v>1</v>
      </c>
      <c r="N48" s="3" t="s">
        <v>95</v>
      </c>
      <c r="O48" s="3" t="s">
        <v>170</v>
      </c>
      <c r="P48" s="3" t="s">
        <v>1347</v>
      </c>
    </row>
    <row r="49" spans="1:16" x14ac:dyDescent="0.2">
      <c r="A49" s="3" t="s">
        <v>1470</v>
      </c>
      <c r="B49" s="3" t="s">
        <v>1471</v>
      </c>
      <c r="C49" s="3" t="s">
        <v>1472</v>
      </c>
      <c r="D49" s="3" t="s">
        <v>393</v>
      </c>
      <c r="E49" s="4"/>
      <c r="F49" s="5">
        <v>43549</v>
      </c>
      <c r="G49" s="4">
        <v>4713596</v>
      </c>
      <c r="H49" s="9">
        <v>755</v>
      </c>
      <c r="I49" s="6">
        <v>44483.293912037036</v>
      </c>
      <c r="J49" s="6">
        <v>44391.539537037039</v>
      </c>
      <c r="K49" s="3" t="s">
        <v>184</v>
      </c>
      <c r="L49" s="3" t="s">
        <v>184</v>
      </c>
      <c r="M49" t="b">
        <v>1</v>
      </c>
      <c r="N49" s="3" t="s">
        <v>61</v>
      </c>
      <c r="O49" s="3" t="s">
        <v>170</v>
      </c>
      <c r="P49" s="3" t="s">
        <v>1347</v>
      </c>
    </row>
    <row r="50" spans="1:16" x14ac:dyDescent="0.2">
      <c r="A50" s="3" t="s">
        <v>1473</v>
      </c>
      <c r="B50" s="3" t="s">
        <v>1474</v>
      </c>
      <c r="C50" s="3" t="s">
        <v>1475</v>
      </c>
      <c r="D50" s="3" t="s">
        <v>182</v>
      </c>
      <c r="E50" s="4"/>
      <c r="F50" s="5">
        <v>44317</v>
      </c>
      <c r="G50" s="4">
        <v>8294061714</v>
      </c>
      <c r="H50" s="9">
        <v>756</v>
      </c>
      <c r="I50" s="6">
        <v>44483.249641203707</v>
      </c>
      <c r="J50" s="6">
        <v>44391.539548611108</v>
      </c>
      <c r="K50" s="3" t="s">
        <v>184</v>
      </c>
      <c r="L50" s="3" t="s">
        <v>184</v>
      </c>
      <c r="M50" t="b">
        <v>1</v>
      </c>
      <c r="N50" s="3" t="s">
        <v>116</v>
      </c>
      <c r="O50" s="3" t="s">
        <v>170</v>
      </c>
      <c r="P50" s="3" t="s">
        <v>1347</v>
      </c>
    </row>
    <row r="51" spans="1:16" x14ac:dyDescent="0.2">
      <c r="A51" s="3" t="s">
        <v>1476</v>
      </c>
      <c r="B51" s="3" t="s">
        <v>1477</v>
      </c>
      <c r="C51" s="3" t="s">
        <v>1478</v>
      </c>
      <c r="D51" s="3" t="s">
        <v>393</v>
      </c>
      <c r="E51" s="4"/>
      <c r="F51" s="5">
        <v>44319</v>
      </c>
      <c r="G51" s="4">
        <v>8298201248</v>
      </c>
      <c r="H51" s="9">
        <v>757</v>
      </c>
      <c r="I51" s="6">
        <v>44483.249641203707</v>
      </c>
      <c r="J51" s="6">
        <v>44391.539560185185</v>
      </c>
      <c r="K51" s="3" t="s">
        <v>184</v>
      </c>
      <c r="L51" s="3" t="s">
        <v>184</v>
      </c>
      <c r="M51" t="b">
        <v>1</v>
      </c>
      <c r="N51" s="3" t="s">
        <v>123</v>
      </c>
      <c r="O51" s="3" t="s">
        <v>170</v>
      </c>
      <c r="P51" s="3" t="s">
        <v>1347</v>
      </c>
    </row>
    <row r="52" spans="1:16" x14ac:dyDescent="0.2">
      <c r="A52" s="3" t="s">
        <v>1479</v>
      </c>
      <c r="B52" s="3" t="s">
        <v>1480</v>
      </c>
      <c r="C52" s="3" t="s">
        <v>1481</v>
      </c>
      <c r="D52" s="3" t="s">
        <v>393</v>
      </c>
      <c r="E52" s="4">
        <v>23120</v>
      </c>
      <c r="F52" s="5">
        <v>44137</v>
      </c>
      <c r="G52" s="4">
        <v>8097130127</v>
      </c>
      <c r="H52" s="9">
        <v>758</v>
      </c>
      <c r="I52" s="6">
        <v>44483.249606481484</v>
      </c>
      <c r="J52" s="6">
        <v>44391.539571759262</v>
      </c>
      <c r="K52" s="3" t="s">
        <v>184</v>
      </c>
      <c r="L52" s="3" t="s">
        <v>184</v>
      </c>
      <c r="M52" t="b">
        <v>1</v>
      </c>
      <c r="N52" s="3" t="s">
        <v>50</v>
      </c>
      <c r="O52" s="3" t="s">
        <v>170</v>
      </c>
      <c r="P52" s="3" t="s">
        <v>1347</v>
      </c>
    </row>
    <row r="53" spans="1:16" x14ac:dyDescent="0.2">
      <c r="A53" s="3" t="s">
        <v>1482</v>
      </c>
      <c r="B53" s="3" t="s">
        <v>955</v>
      </c>
      <c r="C53" s="3" t="s">
        <v>1483</v>
      </c>
      <c r="D53" s="3" t="s">
        <v>393</v>
      </c>
      <c r="E53" s="4">
        <v>20717</v>
      </c>
      <c r="F53" s="5">
        <v>44264</v>
      </c>
      <c r="G53" s="4">
        <v>7881885</v>
      </c>
      <c r="H53" s="9">
        <v>759</v>
      </c>
      <c r="I53" s="6">
        <v>44483.249606481484</v>
      </c>
      <c r="J53" s="6">
        <v>44391.539583333331</v>
      </c>
      <c r="K53" s="3" t="s">
        <v>184</v>
      </c>
      <c r="L53" s="3" t="s">
        <v>184</v>
      </c>
      <c r="M53" t="b">
        <v>1</v>
      </c>
      <c r="N53" s="3" t="s">
        <v>85</v>
      </c>
      <c r="O53" s="3" t="s">
        <v>170</v>
      </c>
      <c r="P53" s="3" t="s">
        <v>1347</v>
      </c>
    </row>
    <row r="54" spans="1:16" x14ac:dyDescent="0.2">
      <c r="A54" s="3" t="s">
        <v>1484</v>
      </c>
      <c r="B54" s="3" t="s">
        <v>1485</v>
      </c>
      <c r="C54" s="3" t="s">
        <v>1486</v>
      </c>
      <c r="D54" s="3" t="s">
        <v>393</v>
      </c>
      <c r="E54" s="4">
        <v>17619</v>
      </c>
      <c r="F54" s="5">
        <v>43647</v>
      </c>
      <c r="G54" s="4">
        <v>2779216</v>
      </c>
      <c r="H54" s="9">
        <v>760</v>
      </c>
      <c r="I54" s="6">
        <v>44483.249606481484</v>
      </c>
      <c r="J54" s="6">
        <v>44391.539594907408</v>
      </c>
      <c r="K54" s="3" t="s">
        <v>184</v>
      </c>
      <c r="L54" s="3" t="s">
        <v>184</v>
      </c>
      <c r="M54" t="b">
        <v>1</v>
      </c>
      <c r="N54" s="3" t="s">
        <v>48</v>
      </c>
      <c r="O54" s="3" t="s">
        <v>170</v>
      </c>
      <c r="P54" s="3" t="s">
        <v>1347</v>
      </c>
    </row>
    <row r="55" spans="1:16" x14ac:dyDescent="0.2">
      <c r="A55" s="3" t="s">
        <v>712</v>
      </c>
      <c r="B55" s="3" t="s">
        <v>713</v>
      </c>
      <c r="C55" s="3" t="s">
        <v>714</v>
      </c>
      <c r="D55" s="3" t="s">
        <v>393</v>
      </c>
      <c r="E55" s="4"/>
      <c r="F55" s="5">
        <v>44373</v>
      </c>
      <c r="G55" s="4">
        <v>8292301362</v>
      </c>
      <c r="H55" s="9">
        <v>761</v>
      </c>
      <c r="I55" s="6">
        <v>44483.249606481484</v>
      </c>
      <c r="J55" s="6">
        <v>44391.539606481485</v>
      </c>
      <c r="K55" s="3" t="s">
        <v>184</v>
      </c>
      <c r="L55" s="3" t="s">
        <v>184</v>
      </c>
      <c r="M55" t="b">
        <v>1</v>
      </c>
      <c r="N55" s="3" t="s">
        <v>85</v>
      </c>
      <c r="O55" s="3" t="s">
        <v>170</v>
      </c>
      <c r="P55" s="3" t="s">
        <v>1347</v>
      </c>
    </row>
    <row r="56" spans="1:16" x14ac:dyDescent="0.2">
      <c r="A56" s="3" t="s">
        <v>1487</v>
      </c>
      <c r="B56" s="3" t="s">
        <v>1488</v>
      </c>
      <c r="C56" s="3" t="s">
        <v>1489</v>
      </c>
      <c r="D56" s="3" t="s">
        <v>760</v>
      </c>
      <c r="E56" s="4">
        <v>42370</v>
      </c>
      <c r="F56" s="5">
        <v>44106</v>
      </c>
      <c r="G56" s="4">
        <v>8299822491</v>
      </c>
      <c r="H56" s="9">
        <v>762</v>
      </c>
      <c r="I56" s="6">
        <v>44483.249606481484</v>
      </c>
      <c r="J56" s="6">
        <v>44391.539618055554</v>
      </c>
      <c r="K56" s="3" t="s">
        <v>184</v>
      </c>
      <c r="L56" s="3" t="s">
        <v>184</v>
      </c>
      <c r="M56" t="b">
        <v>1</v>
      </c>
      <c r="N56" s="3" t="s">
        <v>91</v>
      </c>
      <c r="O56" s="3" t="s">
        <v>170</v>
      </c>
      <c r="P56" s="3" t="s">
        <v>1347</v>
      </c>
    </row>
    <row r="57" spans="1:16" x14ac:dyDescent="0.2">
      <c r="A57" s="3" t="s">
        <v>1490</v>
      </c>
      <c r="B57" s="3" t="s">
        <v>1491</v>
      </c>
      <c r="C57" s="3" t="s">
        <v>1492</v>
      </c>
      <c r="D57" s="3" t="s">
        <v>393</v>
      </c>
      <c r="E57" s="4"/>
      <c r="F57" s="5">
        <v>44065</v>
      </c>
      <c r="G57" s="4">
        <v>8299109862</v>
      </c>
      <c r="H57" s="9">
        <v>763</v>
      </c>
      <c r="I57" s="6">
        <v>44483.249606481484</v>
      </c>
      <c r="J57" s="6">
        <v>44391.539629629631</v>
      </c>
      <c r="K57" s="3" t="s">
        <v>184</v>
      </c>
      <c r="L57" s="3" t="s">
        <v>184</v>
      </c>
      <c r="M57" t="b">
        <v>1</v>
      </c>
      <c r="N57" s="3" t="s">
        <v>61</v>
      </c>
      <c r="O57" s="3" t="s">
        <v>170</v>
      </c>
      <c r="P57" s="3" t="s">
        <v>1347</v>
      </c>
    </row>
    <row r="58" spans="1:16" x14ac:dyDescent="0.2">
      <c r="A58" s="3" t="s">
        <v>1493</v>
      </c>
      <c r="B58" s="3" t="s">
        <v>1494</v>
      </c>
      <c r="C58" s="3" t="s">
        <v>1495</v>
      </c>
      <c r="D58" s="3" t="s">
        <v>760</v>
      </c>
      <c r="E58" s="4">
        <v>32405</v>
      </c>
      <c r="F58" s="5">
        <v>39644</v>
      </c>
      <c r="G58" s="4">
        <v>4115953</v>
      </c>
      <c r="H58" s="9">
        <v>764</v>
      </c>
      <c r="I58" s="6">
        <v>44483.249606481484</v>
      </c>
      <c r="J58" s="6">
        <v>44391.539641203701</v>
      </c>
      <c r="K58" s="3" t="s">
        <v>184</v>
      </c>
      <c r="L58" s="3" t="s">
        <v>184</v>
      </c>
      <c r="M58" t="b">
        <v>1</v>
      </c>
      <c r="N58" s="3" t="s">
        <v>62</v>
      </c>
      <c r="O58" s="3" t="s">
        <v>170</v>
      </c>
      <c r="P58" s="3" t="s">
        <v>1347</v>
      </c>
    </row>
    <row r="59" spans="1:16" x14ac:dyDescent="0.2">
      <c r="A59" s="3" t="s">
        <v>1496</v>
      </c>
      <c r="B59" s="3" t="s">
        <v>1497</v>
      </c>
      <c r="C59" s="3" t="s">
        <v>1498</v>
      </c>
      <c r="D59" s="3" t="s">
        <v>393</v>
      </c>
      <c r="E59" s="4">
        <v>20119</v>
      </c>
      <c r="F59" s="5">
        <v>43760</v>
      </c>
      <c r="G59" s="4">
        <v>8299792657</v>
      </c>
      <c r="H59" s="9">
        <v>765</v>
      </c>
      <c r="I59" s="6">
        <v>44483.249606481484</v>
      </c>
      <c r="J59" s="6">
        <v>44391.539652777778</v>
      </c>
      <c r="K59" s="3" t="s">
        <v>184</v>
      </c>
      <c r="L59" s="3" t="s">
        <v>184</v>
      </c>
      <c r="M59" t="b">
        <v>1</v>
      </c>
      <c r="N59" s="3" t="s">
        <v>118</v>
      </c>
      <c r="O59" s="3" t="s">
        <v>170</v>
      </c>
      <c r="P59" s="3" t="s">
        <v>1347</v>
      </c>
    </row>
    <row r="60" spans="1:16" x14ac:dyDescent="0.2">
      <c r="A60" s="3" t="s">
        <v>1499</v>
      </c>
      <c r="B60" s="3" t="s">
        <v>1500</v>
      </c>
      <c r="C60" s="3" t="s">
        <v>1501</v>
      </c>
      <c r="D60" s="3" t="s">
        <v>393</v>
      </c>
      <c r="E60" s="4">
        <v>18618</v>
      </c>
      <c r="F60" s="5">
        <v>43561</v>
      </c>
      <c r="G60" s="4">
        <v>5365555</v>
      </c>
      <c r="H60" s="9">
        <v>766</v>
      </c>
      <c r="I60" s="6">
        <v>44483.249606481484</v>
      </c>
      <c r="J60" s="6">
        <v>44391.539664351854</v>
      </c>
      <c r="K60" s="3" t="s">
        <v>184</v>
      </c>
      <c r="L60" s="3" t="s">
        <v>184</v>
      </c>
      <c r="M60" t="b">
        <v>1</v>
      </c>
      <c r="N60" s="3" t="s">
        <v>105</v>
      </c>
      <c r="O60" s="3" t="s">
        <v>170</v>
      </c>
      <c r="P60" s="3" t="s">
        <v>1347</v>
      </c>
    </row>
    <row r="61" spans="1:16" x14ac:dyDescent="0.2">
      <c r="A61" s="3" t="s">
        <v>1502</v>
      </c>
      <c r="B61" s="3" t="s">
        <v>1503</v>
      </c>
      <c r="C61" s="3" t="s">
        <v>1504</v>
      </c>
      <c r="D61" s="3" t="s">
        <v>393</v>
      </c>
      <c r="E61" s="4">
        <v>14117</v>
      </c>
      <c r="F61" s="5">
        <v>43834</v>
      </c>
      <c r="G61" s="4">
        <v>4955349</v>
      </c>
      <c r="H61" s="9">
        <v>767</v>
      </c>
      <c r="I61" s="6">
        <v>44483.249606481484</v>
      </c>
      <c r="J61" s="6">
        <v>44391.539675925924</v>
      </c>
      <c r="K61" s="3" t="s">
        <v>184</v>
      </c>
      <c r="L61" s="3" t="s">
        <v>184</v>
      </c>
      <c r="M61" t="b">
        <v>1</v>
      </c>
      <c r="N61" s="3" t="s">
        <v>62</v>
      </c>
      <c r="O61" s="3" t="s">
        <v>170</v>
      </c>
      <c r="P61" s="3" t="s">
        <v>1347</v>
      </c>
    </row>
    <row r="62" spans="1:16" x14ac:dyDescent="0.2">
      <c r="A62" s="3" t="s">
        <v>1505</v>
      </c>
      <c r="B62" s="3" t="s">
        <v>1506</v>
      </c>
      <c r="C62" s="3" t="s">
        <v>1507</v>
      </c>
      <c r="D62" s="3" t="s">
        <v>182</v>
      </c>
      <c r="E62" s="4"/>
      <c r="F62" s="5">
        <v>43098</v>
      </c>
      <c r="G62" s="4">
        <v>8163622</v>
      </c>
      <c r="H62" s="9">
        <v>768</v>
      </c>
      <c r="I62" s="6">
        <v>44483.249606481484</v>
      </c>
      <c r="J62" s="6">
        <v>44391.539699074077</v>
      </c>
      <c r="K62" s="3" t="s">
        <v>184</v>
      </c>
      <c r="L62" s="3" t="s">
        <v>184</v>
      </c>
      <c r="M62" t="b">
        <v>1</v>
      </c>
      <c r="N62" s="3" t="s">
        <v>94</v>
      </c>
      <c r="O62" s="3" t="s">
        <v>170</v>
      </c>
      <c r="P62" s="3" t="s">
        <v>1347</v>
      </c>
    </row>
    <row r="63" spans="1:16" x14ac:dyDescent="0.2">
      <c r="A63" s="3" t="s">
        <v>1508</v>
      </c>
      <c r="B63" s="3" t="s">
        <v>1509</v>
      </c>
      <c r="C63" s="3" t="s">
        <v>1510</v>
      </c>
      <c r="D63" s="3" t="s">
        <v>393</v>
      </c>
      <c r="E63" s="4"/>
      <c r="F63" s="5">
        <v>44008</v>
      </c>
      <c r="G63" s="4">
        <v>8295950728</v>
      </c>
      <c r="H63" s="9">
        <v>769</v>
      </c>
      <c r="I63" s="6">
        <v>44483.294456018521</v>
      </c>
      <c r="J63" s="6">
        <v>44391.539710648147</v>
      </c>
      <c r="K63" s="3" t="s">
        <v>184</v>
      </c>
      <c r="L63" s="3" t="s">
        <v>184</v>
      </c>
      <c r="M63" t="b">
        <v>1</v>
      </c>
      <c r="N63" s="3" t="s">
        <v>61</v>
      </c>
      <c r="O63" s="3" t="s">
        <v>170</v>
      </c>
      <c r="P63" s="3" t="s">
        <v>1347</v>
      </c>
    </row>
    <row r="64" spans="1:16" x14ac:dyDescent="0.2">
      <c r="A64" s="3" t="s">
        <v>1511</v>
      </c>
      <c r="B64" s="3" t="s">
        <v>1512</v>
      </c>
      <c r="C64" s="3" t="s">
        <v>1513</v>
      </c>
      <c r="D64" s="3" t="s">
        <v>182</v>
      </c>
      <c r="E64" s="4"/>
      <c r="F64" s="5">
        <v>44127</v>
      </c>
      <c r="G64" s="4">
        <v>8494509346</v>
      </c>
      <c r="H64" s="9">
        <v>770</v>
      </c>
      <c r="I64" s="6">
        <v>44483.249618055554</v>
      </c>
      <c r="J64" s="6">
        <v>44391.539710648147</v>
      </c>
      <c r="K64" s="3" t="s">
        <v>184</v>
      </c>
      <c r="L64" s="3" t="s">
        <v>184</v>
      </c>
      <c r="M64" t="b">
        <v>1</v>
      </c>
      <c r="N64" s="3" t="s">
        <v>91</v>
      </c>
      <c r="O64" s="3" t="s">
        <v>170</v>
      </c>
      <c r="P64" s="3" t="s">
        <v>1347</v>
      </c>
    </row>
    <row r="65" spans="1:16" x14ac:dyDescent="0.2">
      <c r="A65" s="3" t="s">
        <v>1514</v>
      </c>
      <c r="B65" s="3" t="s">
        <v>1345</v>
      </c>
      <c r="C65" s="3" t="s">
        <v>1515</v>
      </c>
      <c r="D65" s="3" t="s">
        <v>182</v>
      </c>
      <c r="E65" s="4"/>
      <c r="F65" s="5">
        <v>44274</v>
      </c>
      <c r="G65" s="4">
        <v>8292090996</v>
      </c>
      <c r="H65" s="9">
        <v>771</v>
      </c>
      <c r="I65" s="6">
        <v>44483.249618055554</v>
      </c>
      <c r="J65" s="6">
        <v>44391.539722222224</v>
      </c>
      <c r="K65" s="3" t="s">
        <v>184</v>
      </c>
      <c r="L65" s="3" t="s">
        <v>184</v>
      </c>
      <c r="M65" t="b">
        <v>1</v>
      </c>
      <c r="N65" s="3" t="s">
        <v>104</v>
      </c>
      <c r="O65" s="3" t="s">
        <v>170</v>
      </c>
      <c r="P65" s="3" t="s">
        <v>1347</v>
      </c>
    </row>
    <row r="66" spans="1:16" x14ac:dyDescent="0.2">
      <c r="A66" s="3" t="s">
        <v>1516</v>
      </c>
      <c r="B66" s="3" t="s">
        <v>1517</v>
      </c>
      <c r="C66" s="3" t="s">
        <v>1518</v>
      </c>
      <c r="D66" s="3" t="s">
        <v>182</v>
      </c>
      <c r="E66" s="4"/>
      <c r="F66" s="5">
        <v>42186</v>
      </c>
      <c r="G66" s="4">
        <v>3421919</v>
      </c>
      <c r="H66" s="9">
        <v>772</v>
      </c>
      <c r="I66" s="6">
        <v>44483.249618055554</v>
      </c>
      <c r="J66" s="6">
        <v>44391.539733796293</v>
      </c>
      <c r="K66" s="3" t="s">
        <v>184</v>
      </c>
      <c r="L66" s="3" t="s">
        <v>184</v>
      </c>
      <c r="M66" t="b">
        <v>1</v>
      </c>
      <c r="N66" s="3" t="s">
        <v>122</v>
      </c>
      <c r="O66" s="3" t="s">
        <v>170</v>
      </c>
      <c r="P66" s="3" t="s">
        <v>1347</v>
      </c>
    </row>
    <row r="67" spans="1:16" x14ac:dyDescent="0.2">
      <c r="A67" s="3" t="s">
        <v>1519</v>
      </c>
      <c r="B67" s="3" t="s">
        <v>1520</v>
      </c>
      <c r="C67" s="3" t="s">
        <v>1521</v>
      </c>
      <c r="D67" s="3" t="s">
        <v>182</v>
      </c>
      <c r="E67" s="4"/>
      <c r="F67" s="5">
        <v>41093</v>
      </c>
      <c r="G67" s="4">
        <v>8299610905</v>
      </c>
      <c r="H67" s="9">
        <v>773</v>
      </c>
      <c r="I67" s="6">
        <v>44483.249618055554</v>
      </c>
      <c r="J67" s="6">
        <v>44391.53974537037</v>
      </c>
      <c r="K67" s="3" t="s">
        <v>184</v>
      </c>
      <c r="L67" s="3" t="s">
        <v>184</v>
      </c>
      <c r="M67" t="b">
        <v>1</v>
      </c>
      <c r="N67" s="3" t="s">
        <v>94</v>
      </c>
      <c r="O67" s="3" t="s">
        <v>170</v>
      </c>
      <c r="P67" s="3" t="s">
        <v>1347</v>
      </c>
    </row>
    <row r="68" spans="1:16" x14ac:dyDescent="0.2">
      <c r="A68" s="3" t="s">
        <v>1522</v>
      </c>
      <c r="B68" s="3" t="s">
        <v>1523</v>
      </c>
      <c r="C68" s="3" t="s">
        <v>1524</v>
      </c>
      <c r="D68" s="3" t="s">
        <v>393</v>
      </c>
      <c r="E68" s="4">
        <v>71610</v>
      </c>
      <c r="F68" s="5">
        <v>40910</v>
      </c>
      <c r="G68" s="4">
        <v>9938653</v>
      </c>
      <c r="H68" s="9">
        <v>774</v>
      </c>
      <c r="I68" s="6">
        <v>44483.249618055554</v>
      </c>
      <c r="J68" s="6">
        <v>44391.539756944447</v>
      </c>
      <c r="K68" s="3" t="s">
        <v>184</v>
      </c>
      <c r="L68" s="3" t="s">
        <v>184</v>
      </c>
      <c r="M68" t="b">
        <v>1</v>
      </c>
      <c r="N68" s="3" t="s">
        <v>104</v>
      </c>
      <c r="O68" s="3" t="s">
        <v>170</v>
      </c>
      <c r="P68" s="3" t="s">
        <v>1347</v>
      </c>
    </row>
    <row r="69" spans="1:16" x14ac:dyDescent="0.2">
      <c r="A69" s="3" t="s">
        <v>1525</v>
      </c>
      <c r="B69" s="3" t="s">
        <v>1526</v>
      </c>
      <c r="C69" s="3" t="s">
        <v>1527</v>
      </c>
      <c r="D69" s="3" t="s">
        <v>182</v>
      </c>
      <c r="E69" s="4">
        <v>48114</v>
      </c>
      <c r="F69" s="5">
        <v>43102</v>
      </c>
      <c r="G69" s="4">
        <v>8292139143</v>
      </c>
      <c r="H69" s="9">
        <v>775</v>
      </c>
      <c r="I69" s="6">
        <v>44483.249618055554</v>
      </c>
      <c r="J69" s="6">
        <v>44391.539768518516</v>
      </c>
      <c r="K69" s="3" t="s">
        <v>184</v>
      </c>
      <c r="L69" s="3" t="s">
        <v>184</v>
      </c>
      <c r="M69" t="b">
        <v>1</v>
      </c>
      <c r="N69" s="3" t="s">
        <v>103</v>
      </c>
      <c r="O69" s="3" t="s">
        <v>170</v>
      </c>
      <c r="P69" s="3" t="s">
        <v>1347</v>
      </c>
    </row>
    <row r="70" spans="1:16" x14ac:dyDescent="0.2">
      <c r="A70" s="3" t="s">
        <v>1528</v>
      </c>
      <c r="B70" s="3" t="s">
        <v>1529</v>
      </c>
      <c r="C70" s="3" t="s">
        <v>1530</v>
      </c>
      <c r="D70" s="3" t="s">
        <v>182</v>
      </c>
      <c r="E70" s="4"/>
      <c r="F70" s="5">
        <v>43388</v>
      </c>
      <c r="G70" s="4">
        <v>8658347</v>
      </c>
      <c r="H70" s="9">
        <v>776</v>
      </c>
      <c r="I70" s="6">
        <v>44483.249618055554</v>
      </c>
      <c r="J70" s="6">
        <v>44391.539780092593</v>
      </c>
      <c r="K70" s="3" t="s">
        <v>184</v>
      </c>
      <c r="L70" s="3" t="s">
        <v>184</v>
      </c>
      <c r="M70" t="b">
        <v>1</v>
      </c>
      <c r="N70" s="3" t="s">
        <v>32</v>
      </c>
      <c r="O70" s="3" t="s">
        <v>170</v>
      </c>
      <c r="P70" s="3" t="s">
        <v>1347</v>
      </c>
    </row>
    <row r="71" spans="1:16" x14ac:dyDescent="0.2">
      <c r="A71" s="3" t="s">
        <v>832</v>
      </c>
      <c r="B71" s="3" t="s">
        <v>833</v>
      </c>
      <c r="C71" s="3" t="s">
        <v>1531</v>
      </c>
      <c r="D71" s="3" t="s">
        <v>393</v>
      </c>
      <c r="E71" s="4">
        <v>48114</v>
      </c>
      <c r="F71" s="5">
        <v>44336</v>
      </c>
      <c r="G71" s="4">
        <v>5548529</v>
      </c>
      <c r="H71" s="9">
        <v>777</v>
      </c>
      <c r="I71" s="6">
        <v>44483.249618055554</v>
      </c>
      <c r="J71" s="6">
        <v>44391.53979166667</v>
      </c>
      <c r="K71" s="3" t="s">
        <v>184</v>
      </c>
      <c r="L71" s="3" t="s">
        <v>184</v>
      </c>
      <c r="M71" t="b">
        <v>1</v>
      </c>
      <c r="N71" s="3"/>
      <c r="O71" s="3" t="s">
        <v>170</v>
      </c>
      <c r="P71" s="3" t="s">
        <v>1347</v>
      </c>
    </row>
    <row r="72" spans="1:16" x14ac:dyDescent="0.2">
      <c r="A72" s="3" t="s">
        <v>1532</v>
      </c>
      <c r="B72" s="3" t="s">
        <v>1533</v>
      </c>
      <c r="C72" s="3" t="s">
        <v>1534</v>
      </c>
      <c r="D72" s="3" t="s">
        <v>182</v>
      </c>
      <c r="E72" s="4"/>
      <c r="F72" s="5">
        <v>43437</v>
      </c>
      <c r="G72" s="4">
        <v>8846582</v>
      </c>
      <c r="H72" s="9">
        <v>778</v>
      </c>
      <c r="I72" s="6">
        <v>44483.249618055554</v>
      </c>
      <c r="J72" s="6">
        <v>44391.539803240739</v>
      </c>
      <c r="K72" s="3" t="s">
        <v>184</v>
      </c>
      <c r="L72" s="3" t="s">
        <v>184</v>
      </c>
      <c r="M72" t="b">
        <v>1</v>
      </c>
      <c r="N72" s="3" t="s">
        <v>104</v>
      </c>
      <c r="O72" s="3" t="s">
        <v>170</v>
      </c>
      <c r="P72" s="3" t="s">
        <v>1347</v>
      </c>
    </row>
    <row r="73" spans="1:16" x14ac:dyDescent="0.2">
      <c r="A73" s="3" t="s">
        <v>1535</v>
      </c>
      <c r="B73" s="3" t="s">
        <v>1536</v>
      </c>
      <c r="C73" s="3" t="s">
        <v>1537</v>
      </c>
      <c r="D73" s="3" t="s">
        <v>393</v>
      </c>
      <c r="E73" s="4">
        <v>18618</v>
      </c>
      <c r="F73" s="5">
        <v>43733</v>
      </c>
      <c r="G73" s="4">
        <v>8299610909</v>
      </c>
      <c r="H73" s="9">
        <v>779</v>
      </c>
      <c r="I73" s="6">
        <v>44483.249618055554</v>
      </c>
      <c r="J73" s="6">
        <v>44391.539814814816</v>
      </c>
      <c r="K73" s="3" t="s">
        <v>184</v>
      </c>
      <c r="L73" s="3" t="s">
        <v>184</v>
      </c>
      <c r="M73" t="b">
        <v>1</v>
      </c>
      <c r="N73" s="3" t="s">
        <v>32</v>
      </c>
      <c r="O73" s="3" t="s">
        <v>170</v>
      </c>
      <c r="P73" s="3" t="s">
        <v>1347</v>
      </c>
    </row>
    <row r="74" spans="1:16" x14ac:dyDescent="0.2">
      <c r="A74" s="3" t="s">
        <v>1538</v>
      </c>
      <c r="B74" s="3" t="s">
        <v>1539</v>
      </c>
      <c r="C74" s="3" t="s">
        <v>1540</v>
      </c>
      <c r="D74" s="3" t="s">
        <v>1354</v>
      </c>
      <c r="E74" s="4"/>
      <c r="F74" s="5">
        <v>43831</v>
      </c>
      <c r="G74" s="4">
        <v>1263771</v>
      </c>
      <c r="H74" s="9">
        <v>780</v>
      </c>
      <c r="I74" s="6">
        <v>44483.249618055554</v>
      </c>
      <c r="J74" s="6">
        <v>44391.539826388886</v>
      </c>
      <c r="K74" s="3" t="s">
        <v>184</v>
      </c>
      <c r="L74" s="3" t="s">
        <v>184</v>
      </c>
      <c r="M74" t="b">
        <v>1</v>
      </c>
      <c r="N74" s="3"/>
      <c r="O74" s="3" t="s">
        <v>170</v>
      </c>
      <c r="P74" s="3" t="s">
        <v>1347</v>
      </c>
    </row>
    <row r="75" spans="1:16" x14ac:dyDescent="0.2">
      <c r="A75" s="3" t="s">
        <v>1541</v>
      </c>
      <c r="B75" s="3" t="s">
        <v>1542</v>
      </c>
      <c r="C75" s="3" t="s">
        <v>1543</v>
      </c>
      <c r="D75" s="3" t="s">
        <v>393</v>
      </c>
      <c r="E75" s="4">
        <v>67110</v>
      </c>
      <c r="F75" s="5">
        <v>42749</v>
      </c>
      <c r="G75" s="4">
        <v>9882716</v>
      </c>
      <c r="H75" s="9">
        <v>781</v>
      </c>
      <c r="I75" s="6">
        <v>44483.249618055554</v>
      </c>
      <c r="J75" s="6">
        <v>44391.539837962962</v>
      </c>
      <c r="K75" s="3" t="s">
        <v>184</v>
      </c>
      <c r="L75" s="3" t="s">
        <v>184</v>
      </c>
      <c r="M75" t="b">
        <v>1</v>
      </c>
      <c r="N75" s="3" t="s">
        <v>94</v>
      </c>
      <c r="O75" s="3" t="s">
        <v>170</v>
      </c>
      <c r="P75" s="3" t="s">
        <v>1347</v>
      </c>
    </row>
    <row r="76" spans="1:16" x14ac:dyDescent="0.2">
      <c r="A76" s="3" t="s">
        <v>1544</v>
      </c>
      <c r="B76" s="3" t="s">
        <v>1545</v>
      </c>
      <c r="C76" s="3" t="s">
        <v>1546</v>
      </c>
      <c r="D76" s="3" t="s">
        <v>182</v>
      </c>
      <c r="E76" s="4"/>
      <c r="F76" s="5">
        <v>43029</v>
      </c>
      <c r="G76" s="4">
        <v>8143172</v>
      </c>
      <c r="H76" s="9">
        <v>782</v>
      </c>
      <c r="I76" s="6">
        <v>44483.249618055554</v>
      </c>
      <c r="J76" s="6">
        <v>44391.539849537039</v>
      </c>
      <c r="K76" s="3" t="s">
        <v>184</v>
      </c>
      <c r="L76" s="3" t="s">
        <v>184</v>
      </c>
      <c r="M76" t="b">
        <v>1</v>
      </c>
      <c r="N76" s="3" t="s">
        <v>32</v>
      </c>
      <c r="O76" s="3" t="s">
        <v>170</v>
      </c>
      <c r="P76" s="3" t="s">
        <v>1347</v>
      </c>
    </row>
    <row r="77" spans="1:16" x14ac:dyDescent="0.2">
      <c r="A77" s="3" t="s">
        <v>1547</v>
      </c>
      <c r="B77" s="3" t="s">
        <v>1548</v>
      </c>
      <c r="C77" s="3" t="s">
        <v>1549</v>
      </c>
      <c r="D77" s="3" t="s">
        <v>393</v>
      </c>
      <c r="E77" s="4">
        <v>45619</v>
      </c>
      <c r="F77" s="5">
        <v>44184</v>
      </c>
      <c r="G77" s="4">
        <v>7338982</v>
      </c>
      <c r="H77" s="9">
        <v>783</v>
      </c>
      <c r="I77" s="6">
        <v>44483.249618055554</v>
      </c>
      <c r="J77" s="6">
        <v>44391.539861111109</v>
      </c>
      <c r="K77" s="3" t="s">
        <v>184</v>
      </c>
      <c r="L77" s="3" t="s">
        <v>184</v>
      </c>
      <c r="M77" t="b">
        <v>1</v>
      </c>
      <c r="N77" s="3" t="s">
        <v>61</v>
      </c>
      <c r="O77" s="3" t="s">
        <v>170</v>
      </c>
      <c r="P77" s="3" t="s">
        <v>1347</v>
      </c>
    </row>
    <row r="78" spans="1:16" x14ac:dyDescent="0.2">
      <c r="A78" s="3" t="s">
        <v>1550</v>
      </c>
      <c r="B78" s="3" t="s">
        <v>1551</v>
      </c>
      <c r="C78" s="3" t="s">
        <v>1552</v>
      </c>
      <c r="D78" s="3" t="s">
        <v>182</v>
      </c>
      <c r="E78" s="4"/>
      <c r="F78" s="5">
        <v>43760</v>
      </c>
      <c r="G78" s="4">
        <v>4876656</v>
      </c>
      <c r="H78" s="9">
        <v>784</v>
      </c>
      <c r="I78" s="6">
        <v>44483.249618055554</v>
      </c>
      <c r="J78" s="6">
        <v>44391.539884259262</v>
      </c>
      <c r="K78" s="3" t="s">
        <v>184</v>
      </c>
      <c r="L78" s="3" t="s">
        <v>184</v>
      </c>
      <c r="M78" t="b">
        <v>1</v>
      </c>
      <c r="N78" s="3" t="s">
        <v>60</v>
      </c>
      <c r="O78" s="3" t="s">
        <v>170</v>
      </c>
      <c r="P78" s="3" t="s">
        <v>1347</v>
      </c>
    </row>
    <row r="79" spans="1:16" x14ac:dyDescent="0.2">
      <c r="A79" s="3" t="s">
        <v>1553</v>
      </c>
      <c r="B79" s="3" t="s">
        <v>1554</v>
      </c>
      <c r="C79" s="3" t="s">
        <v>1555</v>
      </c>
      <c r="D79" s="3" t="s">
        <v>1354</v>
      </c>
      <c r="E79" s="4">
        <v>70408</v>
      </c>
      <c r="F79" s="5">
        <v>43893</v>
      </c>
      <c r="G79" s="4">
        <v>7918942</v>
      </c>
      <c r="H79" s="9">
        <v>785</v>
      </c>
      <c r="I79" s="6">
        <v>44483.249618055554</v>
      </c>
      <c r="J79" s="6">
        <v>44391.539895833332</v>
      </c>
      <c r="K79" s="3" t="s">
        <v>184</v>
      </c>
      <c r="L79" s="3" t="s">
        <v>184</v>
      </c>
      <c r="M79" t="b">
        <v>1</v>
      </c>
      <c r="N79" s="3"/>
      <c r="O79" s="3" t="s">
        <v>170</v>
      </c>
      <c r="P79" s="3" t="s">
        <v>1347</v>
      </c>
    </row>
    <row r="80" spans="1:16" x14ac:dyDescent="0.2">
      <c r="A80" s="3" t="s">
        <v>1556</v>
      </c>
      <c r="B80" s="3" t="s">
        <v>1557</v>
      </c>
      <c r="C80" s="3" t="s">
        <v>1558</v>
      </c>
      <c r="D80" s="3" t="s">
        <v>182</v>
      </c>
      <c r="E80" s="4"/>
      <c r="F80" s="5">
        <v>42472</v>
      </c>
      <c r="G80" s="4">
        <v>8244973</v>
      </c>
      <c r="H80" s="9">
        <v>786</v>
      </c>
      <c r="I80" s="6">
        <v>44483.24962962963</v>
      </c>
      <c r="J80" s="6">
        <v>44391.539907407408</v>
      </c>
      <c r="K80" s="3" t="s">
        <v>184</v>
      </c>
      <c r="L80" s="3" t="s">
        <v>184</v>
      </c>
      <c r="M80" t="b">
        <v>1</v>
      </c>
      <c r="N80" s="3" t="s">
        <v>62</v>
      </c>
      <c r="O80" s="3" t="s">
        <v>170</v>
      </c>
      <c r="P80" s="3" t="s">
        <v>1347</v>
      </c>
    </row>
    <row r="81" spans="1:16" x14ac:dyDescent="0.2">
      <c r="A81" s="3" t="s">
        <v>1559</v>
      </c>
      <c r="B81" s="3" t="s">
        <v>1560</v>
      </c>
      <c r="C81" s="3" t="s">
        <v>1561</v>
      </c>
      <c r="D81" s="3" t="s">
        <v>182</v>
      </c>
      <c r="E81" s="4"/>
      <c r="F81" s="5">
        <v>44269</v>
      </c>
      <c r="G81" s="4">
        <v>8492270214</v>
      </c>
      <c r="H81" s="9">
        <v>787</v>
      </c>
      <c r="I81" s="6">
        <v>44483.24962962963</v>
      </c>
      <c r="J81" s="6">
        <v>44391.539918981478</v>
      </c>
      <c r="K81" s="3" t="s">
        <v>184</v>
      </c>
      <c r="L81" s="3" t="s">
        <v>184</v>
      </c>
      <c r="M81" t="b">
        <v>1</v>
      </c>
      <c r="N81" s="3" t="s">
        <v>104</v>
      </c>
      <c r="O81" s="3" t="s">
        <v>170</v>
      </c>
      <c r="P81" s="3" t="s">
        <v>1347</v>
      </c>
    </row>
    <row r="82" spans="1:16" x14ac:dyDescent="0.2">
      <c r="A82" s="3" t="s">
        <v>1562</v>
      </c>
      <c r="B82" s="3" t="s">
        <v>1563</v>
      </c>
      <c r="C82" s="3" t="s">
        <v>1564</v>
      </c>
      <c r="D82" s="3" t="s">
        <v>182</v>
      </c>
      <c r="E82" s="4"/>
      <c r="F82" s="5">
        <v>42283</v>
      </c>
      <c r="G82" s="4">
        <v>4953255</v>
      </c>
      <c r="H82" s="9">
        <v>788</v>
      </c>
      <c r="I82" s="6">
        <v>44483.24962962963</v>
      </c>
      <c r="J82" s="6">
        <v>44391.539930555555</v>
      </c>
      <c r="K82" s="3" t="s">
        <v>184</v>
      </c>
      <c r="L82" s="3" t="s">
        <v>184</v>
      </c>
      <c r="M82" t="b">
        <v>1</v>
      </c>
      <c r="N82" s="3" t="s">
        <v>102</v>
      </c>
      <c r="O82" s="3" t="s">
        <v>170</v>
      </c>
      <c r="P82" s="3" t="s">
        <v>1347</v>
      </c>
    </row>
    <row r="83" spans="1:16" x14ac:dyDescent="0.2">
      <c r="A83" s="3" t="s">
        <v>1565</v>
      </c>
      <c r="B83" s="3" t="s">
        <v>1566</v>
      </c>
      <c r="C83" s="3" t="s">
        <v>1567</v>
      </c>
      <c r="D83" s="3" t="s">
        <v>393</v>
      </c>
      <c r="E83" s="4">
        <v>9920</v>
      </c>
      <c r="F83" s="5">
        <v>44016</v>
      </c>
      <c r="G83" s="4">
        <v>8098346245</v>
      </c>
      <c r="H83" s="9">
        <v>789</v>
      </c>
      <c r="I83" s="6">
        <v>44483.24962962963</v>
      </c>
      <c r="J83" s="6">
        <v>44391.539942129632</v>
      </c>
      <c r="K83" s="3" t="s">
        <v>184</v>
      </c>
      <c r="L83" s="3" t="s">
        <v>184</v>
      </c>
      <c r="M83" t="b">
        <v>1</v>
      </c>
      <c r="N83" s="3" t="s">
        <v>88</v>
      </c>
      <c r="O83" s="3" t="s">
        <v>170</v>
      </c>
      <c r="P83" s="3" t="s">
        <v>1347</v>
      </c>
    </row>
    <row r="84" spans="1:16" x14ac:dyDescent="0.2">
      <c r="A84" s="3" t="s">
        <v>1568</v>
      </c>
      <c r="B84" s="3" t="s">
        <v>1569</v>
      </c>
      <c r="C84" s="3" t="s">
        <v>1570</v>
      </c>
      <c r="D84" s="3" t="s">
        <v>393</v>
      </c>
      <c r="E84" s="4"/>
      <c r="F84" s="5">
        <v>44348</v>
      </c>
      <c r="G84" s="4">
        <v>8092370072</v>
      </c>
      <c r="H84" s="9">
        <v>790</v>
      </c>
      <c r="I84" s="6">
        <v>44483.24962962963</v>
      </c>
      <c r="J84" s="6">
        <v>44391.539953703701</v>
      </c>
      <c r="K84" s="3" t="s">
        <v>184</v>
      </c>
      <c r="L84" s="3" t="s">
        <v>184</v>
      </c>
      <c r="M84" t="b">
        <v>1</v>
      </c>
      <c r="N84" s="3" t="s">
        <v>61</v>
      </c>
      <c r="O84" s="3" t="s">
        <v>170</v>
      </c>
      <c r="P84" s="3" t="s">
        <v>1347</v>
      </c>
    </row>
    <row r="85" spans="1:16" x14ac:dyDescent="0.2">
      <c r="A85" s="3" t="s">
        <v>1571</v>
      </c>
      <c r="B85" s="3" t="s">
        <v>1572</v>
      </c>
      <c r="C85" s="3" t="s">
        <v>1573</v>
      </c>
      <c r="D85" s="3" t="s">
        <v>182</v>
      </c>
      <c r="E85" s="4">
        <v>35613</v>
      </c>
      <c r="F85" s="5">
        <v>42968</v>
      </c>
      <c r="G85" s="4">
        <v>6979352</v>
      </c>
      <c r="H85" s="9">
        <v>791</v>
      </c>
      <c r="I85" s="6">
        <v>44483.24962962963</v>
      </c>
      <c r="J85" s="6">
        <v>44391.539965277778</v>
      </c>
      <c r="K85" s="3" t="s">
        <v>184</v>
      </c>
      <c r="L85" s="3" t="s">
        <v>184</v>
      </c>
      <c r="M85" t="b">
        <v>1</v>
      </c>
      <c r="N85" s="3" t="s">
        <v>71</v>
      </c>
      <c r="O85" s="3" t="s">
        <v>170</v>
      </c>
      <c r="P85" s="3" t="s">
        <v>1347</v>
      </c>
    </row>
    <row r="86" spans="1:16" x14ac:dyDescent="0.2">
      <c r="A86" s="3" t="s">
        <v>1574</v>
      </c>
      <c r="B86" s="3" t="s">
        <v>1575</v>
      </c>
      <c r="C86" s="3" t="s">
        <v>1576</v>
      </c>
      <c r="D86" s="3" t="s">
        <v>182</v>
      </c>
      <c r="E86" s="4"/>
      <c r="F86" s="5">
        <v>43876</v>
      </c>
      <c r="G86" s="4">
        <v>1395147</v>
      </c>
      <c r="H86" s="9">
        <v>792</v>
      </c>
      <c r="I86" s="6">
        <v>44483.24962962963</v>
      </c>
      <c r="J86" s="6">
        <v>44391.539976851855</v>
      </c>
      <c r="K86" s="3" t="s">
        <v>184</v>
      </c>
      <c r="L86" s="3" t="s">
        <v>184</v>
      </c>
      <c r="M86" t="b">
        <v>1</v>
      </c>
      <c r="N86" s="3" t="s">
        <v>45</v>
      </c>
      <c r="O86" s="3" t="s">
        <v>170</v>
      </c>
      <c r="P86" s="3" t="s">
        <v>1347</v>
      </c>
    </row>
    <row r="87" spans="1:16" x14ac:dyDescent="0.2">
      <c r="A87" s="3" t="s">
        <v>1577</v>
      </c>
      <c r="B87" s="3" t="s">
        <v>1578</v>
      </c>
      <c r="C87" s="3" t="s">
        <v>1579</v>
      </c>
      <c r="D87" s="3" t="s">
        <v>182</v>
      </c>
      <c r="E87" s="4"/>
      <c r="F87" s="5">
        <v>43542</v>
      </c>
      <c r="G87" s="4">
        <v>3185126</v>
      </c>
      <c r="H87" s="9">
        <v>793</v>
      </c>
      <c r="I87" s="6">
        <v>44483.24962962963</v>
      </c>
      <c r="J87" s="6">
        <v>44391.54</v>
      </c>
      <c r="K87" s="3" t="s">
        <v>184</v>
      </c>
      <c r="L87" s="3" t="s">
        <v>184</v>
      </c>
      <c r="M87" t="b">
        <v>1</v>
      </c>
      <c r="N87" s="3" t="s">
        <v>98</v>
      </c>
      <c r="O87" s="3" t="s">
        <v>170</v>
      </c>
      <c r="P87" s="3" t="s">
        <v>1347</v>
      </c>
    </row>
    <row r="88" spans="1:16" x14ac:dyDescent="0.2">
      <c r="A88" s="3" t="s">
        <v>1580</v>
      </c>
      <c r="B88" s="3" t="s">
        <v>1581</v>
      </c>
      <c r="C88" s="3" t="s">
        <v>1582</v>
      </c>
      <c r="D88" s="3" t="s">
        <v>182</v>
      </c>
      <c r="E88" s="4"/>
      <c r="F88" s="5">
        <v>44154</v>
      </c>
      <c r="G88" s="4">
        <v>8295967601</v>
      </c>
      <c r="H88" s="9">
        <v>794</v>
      </c>
      <c r="I88" s="6">
        <v>44483.24962962963</v>
      </c>
      <c r="J88" s="6">
        <v>44391.54</v>
      </c>
      <c r="K88" s="3" t="s">
        <v>184</v>
      </c>
      <c r="L88" s="3" t="s">
        <v>184</v>
      </c>
      <c r="M88" t="b">
        <v>1</v>
      </c>
      <c r="N88" s="3" t="s">
        <v>115</v>
      </c>
      <c r="O88" s="3" t="s">
        <v>170</v>
      </c>
      <c r="P88" s="3" t="s">
        <v>1347</v>
      </c>
    </row>
    <row r="89" spans="1:16" x14ac:dyDescent="0.2">
      <c r="A89" s="3" t="s">
        <v>1583</v>
      </c>
      <c r="B89" s="3" t="s">
        <v>1584</v>
      </c>
      <c r="C89" s="3" t="s">
        <v>353</v>
      </c>
      <c r="D89" s="3" t="s">
        <v>393</v>
      </c>
      <c r="E89" s="4"/>
      <c r="F89" s="5">
        <v>44238</v>
      </c>
      <c r="G89" s="4">
        <v>8097368031</v>
      </c>
      <c r="H89" s="9">
        <v>795</v>
      </c>
      <c r="I89" s="6">
        <v>44483.24962962963</v>
      </c>
      <c r="J89" s="6">
        <v>44391.540011574078</v>
      </c>
      <c r="K89" s="3" t="s">
        <v>184</v>
      </c>
      <c r="L89" s="3" t="s">
        <v>184</v>
      </c>
      <c r="M89" t="b">
        <v>1</v>
      </c>
      <c r="N89" s="3"/>
      <c r="O89" s="3" t="s">
        <v>170</v>
      </c>
      <c r="P89" s="3" t="s">
        <v>1347</v>
      </c>
    </row>
    <row r="90" spans="1:16" x14ac:dyDescent="0.2">
      <c r="A90" s="3" t="s">
        <v>1585</v>
      </c>
      <c r="B90" s="3" t="s">
        <v>280</v>
      </c>
      <c r="C90" s="3" t="s">
        <v>1586</v>
      </c>
      <c r="D90" s="3" t="s">
        <v>182</v>
      </c>
      <c r="E90" s="4"/>
      <c r="F90" s="5">
        <v>44042</v>
      </c>
      <c r="G90" s="4">
        <v>8297872807</v>
      </c>
      <c r="H90" s="9">
        <v>796</v>
      </c>
      <c r="I90" s="6">
        <v>44483.24962962963</v>
      </c>
      <c r="J90" s="6">
        <v>44391.540023148147</v>
      </c>
      <c r="K90" s="3" t="s">
        <v>184</v>
      </c>
      <c r="L90" s="3" t="s">
        <v>184</v>
      </c>
      <c r="M90" t="b">
        <v>1</v>
      </c>
      <c r="N90" s="3" t="s">
        <v>101</v>
      </c>
      <c r="O90" s="3" t="s">
        <v>170</v>
      </c>
      <c r="P90" s="3" t="s">
        <v>1347</v>
      </c>
    </row>
    <row r="91" spans="1:16" x14ac:dyDescent="0.2">
      <c r="A91" s="3" t="s">
        <v>517</v>
      </c>
      <c r="B91" s="3" t="s">
        <v>1587</v>
      </c>
      <c r="C91" s="3" t="s">
        <v>1588</v>
      </c>
      <c r="D91" s="3" t="s">
        <v>393</v>
      </c>
      <c r="E91" s="4">
        <v>16416</v>
      </c>
      <c r="F91" s="5">
        <v>44215</v>
      </c>
      <c r="G91" s="4">
        <v>9677868</v>
      </c>
      <c r="H91" s="9">
        <v>797</v>
      </c>
      <c r="I91" s="6">
        <v>44483.249641203707</v>
      </c>
      <c r="J91" s="6">
        <v>44391.540034722224</v>
      </c>
      <c r="K91" s="3" t="s">
        <v>184</v>
      </c>
      <c r="L91" s="3" t="s">
        <v>184</v>
      </c>
      <c r="M91" t="b">
        <v>1</v>
      </c>
      <c r="N91" s="3" t="s">
        <v>120</v>
      </c>
      <c r="O91" s="3" t="s">
        <v>170</v>
      </c>
      <c r="P91" s="3" t="s">
        <v>1347</v>
      </c>
    </row>
    <row r="92" spans="1:16" x14ac:dyDescent="0.2">
      <c r="A92" s="3" t="s">
        <v>1589</v>
      </c>
      <c r="B92" s="3" t="s">
        <v>1590</v>
      </c>
      <c r="C92" s="3" t="s">
        <v>1591</v>
      </c>
      <c r="D92" s="3" t="s">
        <v>393</v>
      </c>
      <c r="E92" s="4">
        <v>45619</v>
      </c>
      <c r="F92" s="5">
        <v>44032</v>
      </c>
      <c r="G92" s="4">
        <v>8093630873</v>
      </c>
      <c r="H92" s="9">
        <v>798</v>
      </c>
      <c r="I92" s="6">
        <v>44483.249641203707</v>
      </c>
      <c r="J92" s="6">
        <v>44391.540034722224</v>
      </c>
      <c r="K92" s="3" t="s">
        <v>184</v>
      </c>
      <c r="L92" s="3" t="s">
        <v>184</v>
      </c>
      <c r="M92" t="b">
        <v>1</v>
      </c>
      <c r="N92" s="3" t="s">
        <v>99</v>
      </c>
      <c r="O92" s="3" t="s">
        <v>170</v>
      </c>
      <c r="P92" s="3" t="s">
        <v>1347</v>
      </c>
    </row>
    <row r="93" spans="1:16" x14ac:dyDescent="0.2">
      <c r="A93" s="3" t="s">
        <v>1592</v>
      </c>
      <c r="B93" s="3" t="s">
        <v>1593</v>
      </c>
      <c r="C93" s="3" t="s">
        <v>1594</v>
      </c>
      <c r="D93" s="3" t="s">
        <v>182</v>
      </c>
      <c r="E93" s="4"/>
      <c r="F93" s="5">
        <v>44169</v>
      </c>
      <c r="G93" s="4">
        <v>8295369112</v>
      </c>
      <c r="H93" s="9">
        <v>799</v>
      </c>
      <c r="I93" s="6">
        <v>44483.249641203707</v>
      </c>
      <c r="J93" s="6">
        <v>44391.540046296293</v>
      </c>
      <c r="K93" s="3" t="s">
        <v>184</v>
      </c>
      <c r="L93" s="3" t="s">
        <v>184</v>
      </c>
      <c r="M93" t="b">
        <v>1</v>
      </c>
      <c r="N93" s="3" t="s">
        <v>51</v>
      </c>
      <c r="O93" s="3" t="s">
        <v>170</v>
      </c>
      <c r="P93" s="3" t="s">
        <v>1347</v>
      </c>
    </row>
    <row r="94" spans="1:16" x14ac:dyDescent="0.2">
      <c r="A94" s="3" t="s">
        <v>572</v>
      </c>
      <c r="B94" s="3" t="s">
        <v>1595</v>
      </c>
      <c r="C94" s="3" t="s">
        <v>1596</v>
      </c>
      <c r="D94" s="3" t="s">
        <v>393</v>
      </c>
      <c r="E94" s="4">
        <v>39116</v>
      </c>
      <c r="F94" s="5">
        <v>44316</v>
      </c>
      <c r="G94" s="4">
        <v>8099572305</v>
      </c>
      <c r="H94" s="9">
        <v>800</v>
      </c>
      <c r="I94" s="6">
        <v>44483.249641203707</v>
      </c>
      <c r="J94" s="6">
        <v>44391.54005787037</v>
      </c>
      <c r="K94" s="3" t="s">
        <v>184</v>
      </c>
      <c r="L94" s="3" t="s">
        <v>184</v>
      </c>
      <c r="M94" t="b">
        <v>1</v>
      </c>
      <c r="N94" s="3" t="s">
        <v>86</v>
      </c>
      <c r="O94" s="3" t="s">
        <v>170</v>
      </c>
      <c r="P94" s="3" t="s">
        <v>1347</v>
      </c>
    </row>
    <row r="95" spans="1:16" x14ac:dyDescent="0.2">
      <c r="A95" s="3" t="s">
        <v>1597</v>
      </c>
      <c r="B95" s="3" t="s">
        <v>158</v>
      </c>
      <c r="C95" s="3" t="s">
        <v>1598</v>
      </c>
      <c r="D95" s="3" t="s">
        <v>182</v>
      </c>
      <c r="E95" s="4">
        <v>28318</v>
      </c>
      <c r="F95" s="5">
        <v>43760</v>
      </c>
      <c r="G95" s="4">
        <v>9777188</v>
      </c>
      <c r="H95" s="9">
        <v>801</v>
      </c>
      <c r="I95" s="6">
        <v>44483.294965277775</v>
      </c>
      <c r="J95" s="6">
        <v>44391.540069444447</v>
      </c>
      <c r="K95" s="3" t="s">
        <v>184</v>
      </c>
      <c r="L95" s="3" t="s">
        <v>184</v>
      </c>
      <c r="M95" t="b">
        <v>1</v>
      </c>
      <c r="N95" s="3" t="s">
        <v>49</v>
      </c>
      <c r="O95" s="3" t="s">
        <v>170</v>
      </c>
      <c r="P95" s="3" t="s">
        <v>1347</v>
      </c>
    </row>
    <row r="96" spans="1:16" x14ac:dyDescent="0.2">
      <c r="A96" s="3" t="s">
        <v>1599</v>
      </c>
      <c r="B96" s="3" t="s">
        <v>1600</v>
      </c>
      <c r="C96" s="3" t="s">
        <v>1601</v>
      </c>
      <c r="D96" s="3" t="s">
        <v>182</v>
      </c>
      <c r="E96" s="4">
        <v>10019</v>
      </c>
      <c r="F96" s="5">
        <v>44153</v>
      </c>
      <c r="G96" s="4">
        <v>8892491</v>
      </c>
      <c r="H96" s="9">
        <v>802</v>
      </c>
      <c r="I96" s="6">
        <v>44483.249641203707</v>
      </c>
      <c r="J96" s="6">
        <v>44391.540081018517</v>
      </c>
      <c r="K96" s="3" t="s">
        <v>184</v>
      </c>
      <c r="L96" s="3" t="s">
        <v>184</v>
      </c>
      <c r="M96" t="b">
        <v>1</v>
      </c>
      <c r="N96" s="3" t="s">
        <v>121</v>
      </c>
      <c r="O96" s="3" t="s">
        <v>170</v>
      </c>
      <c r="P96" s="3" t="s">
        <v>1347</v>
      </c>
    </row>
    <row r="97" spans="1:16" x14ac:dyDescent="0.2">
      <c r="A97" s="3" t="s">
        <v>1602</v>
      </c>
      <c r="B97" s="3" t="s">
        <v>1603</v>
      </c>
      <c r="C97" s="3" t="s">
        <v>1604</v>
      </c>
      <c r="D97" s="3" t="s">
        <v>393</v>
      </c>
      <c r="E97" s="4">
        <v>23120</v>
      </c>
      <c r="F97" s="5">
        <v>44333</v>
      </c>
      <c r="G97" s="4">
        <v>8099650020</v>
      </c>
      <c r="H97" s="9">
        <v>803</v>
      </c>
      <c r="I97" s="6">
        <v>44483.249641203707</v>
      </c>
      <c r="J97" s="6">
        <v>44391.540092592593</v>
      </c>
      <c r="K97" s="3" t="s">
        <v>184</v>
      </c>
      <c r="L97" s="3" t="s">
        <v>184</v>
      </c>
      <c r="M97" t="b">
        <v>1</v>
      </c>
      <c r="N97" s="3"/>
      <c r="O97" s="3" t="s">
        <v>170</v>
      </c>
      <c r="P97" s="3" t="s">
        <v>1347</v>
      </c>
    </row>
    <row r="98" spans="1:16" x14ac:dyDescent="0.2">
      <c r="A98" s="3" t="s">
        <v>1605</v>
      </c>
      <c r="B98" s="3" t="s">
        <v>1606</v>
      </c>
      <c r="C98" s="3" t="s">
        <v>1607</v>
      </c>
      <c r="D98" s="3" t="s">
        <v>182</v>
      </c>
      <c r="E98" s="4"/>
      <c r="F98" s="5">
        <v>43108</v>
      </c>
      <c r="G98" s="4">
        <v>9865286</v>
      </c>
      <c r="H98" s="9">
        <v>804</v>
      </c>
      <c r="I98" s="6">
        <v>44483.249641203707</v>
      </c>
      <c r="J98" s="6">
        <v>44391.54010416667</v>
      </c>
      <c r="K98" s="3" t="s">
        <v>184</v>
      </c>
      <c r="L98" s="3" t="s">
        <v>184</v>
      </c>
      <c r="M98" t="b">
        <v>1</v>
      </c>
      <c r="N98" s="3" t="s">
        <v>119</v>
      </c>
      <c r="O98" s="3" t="s">
        <v>170</v>
      </c>
      <c r="P98" s="3" t="s">
        <v>1347</v>
      </c>
    </row>
    <row r="99" spans="1:16" x14ac:dyDescent="0.2">
      <c r="A99" s="3" t="s">
        <v>1608</v>
      </c>
      <c r="B99" s="3" t="s">
        <v>1609</v>
      </c>
      <c r="C99" s="3" t="s">
        <v>1610</v>
      </c>
      <c r="D99" s="3" t="s">
        <v>182</v>
      </c>
      <c r="E99" s="4"/>
      <c r="F99" s="5">
        <v>43070</v>
      </c>
      <c r="G99" s="4">
        <v>8092842282</v>
      </c>
      <c r="H99" s="9">
        <v>805</v>
      </c>
      <c r="I99" s="6">
        <v>44483.249641203707</v>
      </c>
      <c r="J99" s="6">
        <v>44391.54011574074</v>
      </c>
      <c r="K99" s="3" t="s">
        <v>184</v>
      </c>
      <c r="L99" s="3" t="s">
        <v>184</v>
      </c>
      <c r="M99" t="b">
        <v>1</v>
      </c>
      <c r="N99" s="3" t="s">
        <v>58</v>
      </c>
      <c r="O99" s="3" t="s">
        <v>170</v>
      </c>
      <c r="P99" s="3" t="s">
        <v>1347</v>
      </c>
    </row>
    <row r="100" spans="1:16" x14ac:dyDescent="0.2">
      <c r="A100" s="3" t="s">
        <v>1611</v>
      </c>
      <c r="B100" s="3" t="s">
        <v>1612</v>
      </c>
      <c r="C100" s="3" t="s">
        <v>1613</v>
      </c>
      <c r="D100" s="3" t="s">
        <v>393</v>
      </c>
      <c r="E100" s="4">
        <v>25616</v>
      </c>
      <c r="F100" s="5">
        <v>44222</v>
      </c>
      <c r="G100" s="4">
        <v>8498176313</v>
      </c>
      <c r="H100" s="9">
        <v>806</v>
      </c>
      <c r="I100" s="6">
        <v>44483.249641203707</v>
      </c>
      <c r="J100" s="6">
        <v>44391.54011574074</v>
      </c>
      <c r="K100" s="3" t="s">
        <v>184</v>
      </c>
      <c r="L100" s="3" t="s">
        <v>184</v>
      </c>
      <c r="M100" t="b">
        <v>1</v>
      </c>
      <c r="N100" s="3" t="s">
        <v>2050</v>
      </c>
      <c r="O100" s="3" t="s">
        <v>170</v>
      </c>
      <c r="P100" s="3" t="s">
        <v>1347</v>
      </c>
    </row>
    <row r="101" spans="1:16" x14ac:dyDescent="0.2">
      <c r="A101" s="3" t="s">
        <v>1614</v>
      </c>
      <c r="B101" s="3" t="s">
        <v>1615</v>
      </c>
      <c r="C101" s="3" t="s">
        <v>1616</v>
      </c>
      <c r="D101" s="3" t="s">
        <v>393</v>
      </c>
      <c r="E101" s="4">
        <v>47310</v>
      </c>
      <c r="F101" s="5">
        <v>43801</v>
      </c>
      <c r="G101" s="4">
        <v>3774986</v>
      </c>
      <c r="H101" s="9">
        <v>808</v>
      </c>
      <c r="I101" s="6">
        <v>44483.249606481484</v>
      </c>
      <c r="J101" s="6">
        <v>44391.540138888886</v>
      </c>
      <c r="K101" s="3" t="s">
        <v>184</v>
      </c>
      <c r="L101" s="3" t="s">
        <v>184</v>
      </c>
      <c r="M101" t="b">
        <v>1</v>
      </c>
      <c r="N101" s="3" t="s">
        <v>91</v>
      </c>
      <c r="O101" s="3" t="s">
        <v>170</v>
      </c>
      <c r="P101" s="3" t="s">
        <v>1347</v>
      </c>
    </row>
    <row r="102" spans="1:16" x14ac:dyDescent="0.2">
      <c r="A102" s="3" t="s">
        <v>1617</v>
      </c>
      <c r="B102" s="3" t="s">
        <v>1618</v>
      </c>
      <c r="C102" s="3" t="s">
        <v>1619</v>
      </c>
      <c r="D102" s="3" t="s">
        <v>182</v>
      </c>
      <c r="E102" s="4"/>
      <c r="F102" s="5">
        <v>42763</v>
      </c>
      <c r="G102" s="4">
        <v>5454115</v>
      </c>
      <c r="H102" s="9">
        <v>809</v>
      </c>
      <c r="I102" s="6">
        <v>44483.249606481484</v>
      </c>
      <c r="J102" s="6">
        <v>44391.540150462963</v>
      </c>
      <c r="K102" s="3" t="s">
        <v>184</v>
      </c>
      <c r="L102" s="3" t="s">
        <v>184</v>
      </c>
      <c r="M102" t="b">
        <v>1</v>
      </c>
      <c r="N102" s="3" t="s">
        <v>2050</v>
      </c>
      <c r="O102" s="3" t="s">
        <v>170</v>
      </c>
      <c r="P102" s="3" t="s">
        <v>1347</v>
      </c>
    </row>
    <row r="103" spans="1:16" x14ac:dyDescent="0.2">
      <c r="A103" s="3" t="s">
        <v>1620</v>
      </c>
      <c r="B103" s="3" t="s">
        <v>1621</v>
      </c>
      <c r="C103" s="3" t="s">
        <v>1622</v>
      </c>
      <c r="D103" s="3" t="s">
        <v>393</v>
      </c>
      <c r="E103" s="4">
        <v>16416</v>
      </c>
      <c r="F103" s="5">
        <v>44075</v>
      </c>
      <c r="G103" s="4">
        <v>8297728193</v>
      </c>
      <c r="H103" s="9">
        <v>810</v>
      </c>
      <c r="I103" s="6">
        <v>44483.249606481484</v>
      </c>
      <c r="J103" s="6">
        <v>44391.540162037039</v>
      </c>
      <c r="K103" s="3" t="s">
        <v>184</v>
      </c>
      <c r="L103" s="3" t="s">
        <v>184</v>
      </c>
      <c r="M103" t="b">
        <v>1</v>
      </c>
      <c r="N103" s="3" t="s">
        <v>98</v>
      </c>
      <c r="O103" s="3" t="s">
        <v>170</v>
      </c>
      <c r="P103" s="3" t="s">
        <v>1347</v>
      </c>
    </row>
    <row r="104" spans="1:16" x14ac:dyDescent="0.2">
      <c r="A104" s="3" t="s">
        <v>417</v>
      </c>
      <c r="B104" s="3" t="s">
        <v>418</v>
      </c>
      <c r="C104" s="3" t="s">
        <v>1623</v>
      </c>
      <c r="D104" s="3" t="s">
        <v>393</v>
      </c>
      <c r="E104" s="4"/>
      <c r="F104" s="5">
        <v>44378</v>
      </c>
      <c r="G104" s="4">
        <v>8097191524</v>
      </c>
      <c r="H104" s="9">
        <v>811</v>
      </c>
      <c r="I104" s="6">
        <v>44483.249606481484</v>
      </c>
      <c r="J104" s="6">
        <v>44391.540162037039</v>
      </c>
      <c r="K104" s="3" t="s">
        <v>184</v>
      </c>
      <c r="L104" s="3" t="s">
        <v>184</v>
      </c>
      <c r="M104" t="b">
        <v>1</v>
      </c>
      <c r="N104" s="3"/>
      <c r="O104" s="3" t="s">
        <v>170</v>
      </c>
      <c r="P104" s="3" t="s">
        <v>1347</v>
      </c>
    </row>
    <row r="105" spans="1:16" x14ac:dyDescent="0.2">
      <c r="A105" s="3" t="s">
        <v>1624</v>
      </c>
      <c r="B105" s="3" t="s">
        <v>1625</v>
      </c>
      <c r="C105" s="3" t="s">
        <v>1626</v>
      </c>
      <c r="D105" s="3" t="s">
        <v>393</v>
      </c>
      <c r="E105" s="4"/>
      <c r="F105" s="5">
        <v>44319</v>
      </c>
      <c r="G105" s="4">
        <v>8097809983</v>
      </c>
      <c r="H105" s="9">
        <v>812</v>
      </c>
      <c r="I105" s="6">
        <v>44483.249606481484</v>
      </c>
      <c r="J105" s="6">
        <v>44391.540173611109</v>
      </c>
      <c r="K105" s="3" t="s">
        <v>184</v>
      </c>
      <c r="L105" s="3" t="s">
        <v>184</v>
      </c>
      <c r="M105" t="b">
        <v>1</v>
      </c>
      <c r="N105" s="3" t="s">
        <v>116</v>
      </c>
      <c r="O105" s="3" t="s">
        <v>170</v>
      </c>
      <c r="P105" s="3" t="s">
        <v>1347</v>
      </c>
    </row>
    <row r="106" spans="1:16" x14ac:dyDescent="0.2">
      <c r="A106" s="3" t="s">
        <v>1627</v>
      </c>
      <c r="B106" s="3" t="s">
        <v>1628</v>
      </c>
      <c r="C106" s="3" t="s">
        <v>1629</v>
      </c>
      <c r="D106" s="3" t="s">
        <v>393</v>
      </c>
      <c r="E106" s="4">
        <v>9920</v>
      </c>
      <c r="F106" s="5">
        <v>44009</v>
      </c>
      <c r="G106" s="4">
        <v>8095502926</v>
      </c>
      <c r="H106" s="9">
        <v>813</v>
      </c>
      <c r="I106" s="6">
        <v>44483.249606481484</v>
      </c>
      <c r="J106" s="6">
        <v>44391.540185185186</v>
      </c>
      <c r="K106" s="3" t="s">
        <v>184</v>
      </c>
      <c r="L106" s="3" t="s">
        <v>184</v>
      </c>
      <c r="M106" t="b">
        <v>1</v>
      </c>
      <c r="N106" s="3" t="s">
        <v>114</v>
      </c>
      <c r="O106" s="3" t="s">
        <v>170</v>
      </c>
      <c r="P106" s="3" t="s">
        <v>1347</v>
      </c>
    </row>
    <row r="107" spans="1:16" x14ac:dyDescent="0.2">
      <c r="A107" s="3" t="s">
        <v>1630</v>
      </c>
      <c r="B107" s="3" t="s">
        <v>1631</v>
      </c>
      <c r="C107" s="3" t="s">
        <v>1632</v>
      </c>
      <c r="D107" s="3" t="s">
        <v>760</v>
      </c>
      <c r="E107" s="4"/>
      <c r="F107" s="5">
        <v>43634</v>
      </c>
      <c r="G107" s="4">
        <v>9235455</v>
      </c>
      <c r="H107" s="9">
        <v>814</v>
      </c>
      <c r="I107" s="6">
        <v>44483.249606481484</v>
      </c>
      <c r="J107" s="6">
        <v>44391.540196759262</v>
      </c>
      <c r="K107" s="3" t="s">
        <v>184</v>
      </c>
      <c r="L107" s="3" t="s">
        <v>184</v>
      </c>
      <c r="M107" t="b">
        <v>1</v>
      </c>
      <c r="N107" s="3" t="s">
        <v>62</v>
      </c>
      <c r="O107" s="3" t="s">
        <v>170</v>
      </c>
      <c r="P107" s="3" t="s">
        <v>1347</v>
      </c>
    </row>
    <row r="108" spans="1:16" x14ac:dyDescent="0.2">
      <c r="A108" s="3" t="s">
        <v>1633</v>
      </c>
      <c r="B108" s="3" t="s">
        <v>1634</v>
      </c>
      <c r="C108" s="3" t="s">
        <v>1635</v>
      </c>
      <c r="D108" s="3" t="s">
        <v>393</v>
      </c>
      <c r="E108" s="4">
        <v>1610</v>
      </c>
      <c r="F108" s="5">
        <v>40798</v>
      </c>
      <c r="G108" s="4">
        <v>9216985</v>
      </c>
      <c r="H108" s="9">
        <v>815</v>
      </c>
      <c r="I108" s="6">
        <v>44483.249606481484</v>
      </c>
      <c r="J108" s="6">
        <v>44391.540208333332</v>
      </c>
      <c r="K108" s="3" t="s">
        <v>184</v>
      </c>
      <c r="L108" s="3" t="s">
        <v>184</v>
      </c>
      <c r="M108" t="b">
        <v>1</v>
      </c>
      <c r="N108" s="3" t="s">
        <v>91</v>
      </c>
      <c r="O108" s="3" t="s">
        <v>170</v>
      </c>
      <c r="P108" s="3" t="s">
        <v>1347</v>
      </c>
    </row>
    <row r="109" spans="1:16" x14ac:dyDescent="0.2">
      <c r="A109" s="3" t="s">
        <v>1636</v>
      </c>
      <c r="B109" s="3" t="s">
        <v>1637</v>
      </c>
      <c r="C109" s="3" t="s">
        <v>1638</v>
      </c>
      <c r="D109" s="3" t="s">
        <v>393</v>
      </c>
      <c r="E109" s="4">
        <v>32309</v>
      </c>
      <c r="F109" s="5">
        <v>40199</v>
      </c>
      <c r="G109" s="4">
        <v>8299610907</v>
      </c>
      <c r="H109" s="9">
        <v>816</v>
      </c>
      <c r="I109" s="6">
        <v>44483.249606481484</v>
      </c>
      <c r="J109" s="6">
        <v>44391.540219907409</v>
      </c>
      <c r="K109" s="3" t="s">
        <v>184</v>
      </c>
      <c r="L109" s="3" t="s">
        <v>184</v>
      </c>
      <c r="M109" t="b">
        <v>1</v>
      </c>
      <c r="N109" s="3" t="s">
        <v>94</v>
      </c>
      <c r="O109" s="3" t="s">
        <v>170</v>
      </c>
      <c r="P109" s="3" t="s">
        <v>1347</v>
      </c>
    </row>
    <row r="110" spans="1:16" x14ac:dyDescent="0.2">
      <c r="A110" s="3" t="s">
        <v>1639</v>
      </c>
      <c r="B110" s="3" t="s">
        <v>1640</v>
      </c>
      <c r="C110" s="3" t="s">
        <v>1641</v>
      </c>
      <c r="D110" s="3" t="s">
        <v>393</v>
      </c>
      <c r="E110" s="4">
        <v>6613</v>
      </c>
      <c r="F110" s="5">
        <v>41135</v>
      </c>
      <c r="G110" s="4">
        <v>5583387</v>
      </c>
      <c r="H110" s="9">
        <v>817</v>
      </c>
      <c r="I110" s="6">
        <v>44483.249606481484</v>
      </c>
      <c r="J110" s="6">
        <v>44391.540231481478</v>
      </c>
      <c r="K110" s="3" t="s">
        <v>184</v>
      </c>
      <c r="L110" s="3" t="s">
        <v>184</v>
      </c>
      <c r="M110" t="b">
        <v>1</v>
      </c>
      <c r="N110" s="3" t="s">
        <v>94</v>
      </c>
      <c r="O110" s="3" t="s">
        <v>170</v>
      </c>
      <c r="P110" s="3" t="s">
        <v>1347</v>
      </c>
    </row>
    <row r="111" spans="1:16" x14ac:dyDescent="0.2">
      <c r="A111" s="3" t="s">
        <v>1642</v>
      </c>
      <c r="B111" s="3" t="s">
        <v>1643</v>
      </c>
      <c r="C111" s="3" t="s">
        <v>1644</v>
      </c>
      <c r="D111" s="3" t="s">
        <v>393</v>
      </c>
      <c r="E111" s="4">
        <v>20119</v>
      </c>
      <c r="F111" s="5">
        <v>44179</v>
      </c>
      <c r="G111" s="4">
        <v>6875222</v>
      </c>
      <c r="H111" s="9">
        <v>818</v>
      </c>
      <c r="I111" s="6">
        <v>44483.249606481484</v>
      </c>
      <c r="J111" s="6">
        <v>44391.540243055555</v>
      </c>
      <c r="K111" s="3" t="s">
        <v>184</v>
      </c>
      <c r="L111" s="3" t="s">
        <v>184</v>
      </c>
      <c r="M111" t="b">
        <v>1</v>
      </c>
      <c r="N111" s="3" t="s">
        <v>52</v>
      </c>
      <c r="O111" s="3" t="s">
        <v>170</v>
      </c>
      <c r="P111" s="3" t="s">
        <v>1347</v>
      </c>
    </row>
    <row r="112" spans="1:16" x14ac:dyDescent="0.2">
      <c r="A112" s="3" t="s">
        <v>369</v>
      </c>
      <c r="B112" s="3" t="s">
        <v>370</v>
      </c>
      <c r="C112" s="3" t="s">
        <v>371</v>
      </c>
      <c r="D112" s="3" t="s">
        <v>182</v>
      </c>
      <c r="E112" s="4"/>
      <c r="F112" s="5">
        <v>44105</v>
      </c>
      <c r="G112" s="4">
        <v>8096746157</v>
      </c>
      <c r="H112" s="9">
        <v>819</v>
      </c>
      <c r="I112" s="6">
        <v>44483.249606481484</v>
      </c>
      <c r="J112" s="6">
        <v>44391.540254629632</v>
      </c>
      <c r="K112" s="3" t="s">
        <v>184</v>
      </c>
      <c r="L112" s="3" t="s">
        <v>184</v>
      </c>
      <c r="M112" t="b">
        <v>1</v>
      </c>
      <c r="N112" s="3" t="s">
        <v>83</v>
      </c>
      <c r="O112" s="3" t="s">
        <v>170</v>
      </c>
      <c r="P112" s="3" t="s">
        <v>1347</v>
      </c>
    </row>
    <row r="113" spans="1:16" x14ac:dyDescent="0.2">
      <c r="A113" s="3" t="s">
        <v>904</v>
      </c>
      <c r="B113" s="3" t="s">
        <v>1645</v>
      </c>
      <c r="C113" s="3" t="s">
        <v>906</v>
      </c>
      <c r="D113" s="3" t="s">
        <v>182</v>
      </c>
      <c r="E113" s="4"/>
      <c r="F113" s="5">
        <v>44365</v>
      </c>
      <c r="G113" s="4">
        <v>8298552091</v>
      </c>
      <c r="H113" s="9">
        <v>820</v>
      </c>
      <c r="I113" s="6">
        <v>44483.296388888892</v>
      </c>
      <c r="J113" s="6">
        <v>44391.540266203701</v>
      </c>
      <c r="K113" s="3" t="s">
        <v>184</v>
      </c>
      <c r="L113" s="3" t="s">
        <v>184</v>
      </c>
      <c r="M113" t="b">
        <v>1</v>
      </c>
      <c r="N113" s="3" t="s">
        <v>61</v>
      </c>
      <c r="O113" s="3" t="s">
        <v>170</v>
      </c>
      <c r="P113" s="3" t="s">
        <v>1347</v>
      </c>
    </row>
    <row r="114" spans="1:16" x14ac:dyDescent="0.2">
      <c r="A114" s="3" t="s">
        <v>1646</v>
      </c>
      <c r="B114" s="3" t="s">
        <v>1647</v>
      </c>
      <c r="C114" s="3" t="s">
        <v>1648</v>
      </c>
      <c r="D114" s="3" t="s">
        <v>393</v>
      </c>
      <c r="E114" s="4">
        <v>36616</v>
      </c>
      <c r="F114" s="5">
        <v>42780</v>
      </c>
      <c r="G114" s="4">
        <v>8298525822</v>
      </c>
      <c r="H114" s="9">
        <v>821</v>
      </c>
      <c r="I114" s="6">
        <v>44483.249618055554</v>
      </c>
      <c r="J114" s="6">
        <v>44391.540277777778</v>
      </c>
      <c r="K114" s="3" t="s">
        <v>184</v>
      </c>
      <c r="L114" s="3" t="s">
        <v>184</v>
      </c>
      <c r="M114" t="b">
        <v>1</v>
      </c>
      <c r="N114" s="3" t="s">
        <v>72</v>
      </c>
      <c r="O114" s="3" t="s">
        <v>170</v>
      </c>
      <c r="P114" s="3" t="s">
        <v>1347</v>
      </c>
    </row>
    <row r="115" spans="1:16" x14ac:dyDescent="0.2">
      <c r="A115" s="3" t="s">
        <v>1649</v>
      </c>
      <c r="B115" s="3" t="s">
        <v>1650</v>
      </c>
      <c r="C115" s="3" t="s">
        <v>1651</v>
      </c>
      <c r="D115" s="3" t="s">
        <v>393</v>
      </c>
      <c r="E115" s="4">
        <v>9920</v>
      </c>
      <c r="F115" s="5">
        <v>44292</v>
      </c>
      <c r="G115" s="4">
        <v>8098734772</v>
      </c>
      <c r="H115" s="9">
        <v>822</v>
      </c>
      <c r="I115" s="6">
        <v>44483.249618055554</v>
      </c>
      <c r="J115" s="6">
        <v>44391.540277777778</v>
      </c>
      <c r="K115" s="3" t="s">
        <v>184</v>
      </c>
      <c r="L115" s="3" t="s">
        <v>184</v>
      </c>
      <c r="M115" t="b">
        <v>1</v>
      </c>
      <c r="N115" s="3" t="s">
        <v>107</v>
      </c>
      <c r="O115" s="3" t="s">
        <v>170</v>
      </c>
      <c r="P115" s="3" t="s">
        <v>1347</v>
      </c>
    </row>
    <row r="116" spans="1:16" x14ac:dyDescent="0.2">
      <c r="A116" s="3" t="s">
        <v>1652</v>
      </c>
      <c r="B116" s="3" t="s">
        <v>1653</v>
      </c>
      <c r="C116" s="3" t="s">
        <v>1654</v>
      </c>
      <c r="D116" s="3" t="s">
        <v>182</v>
      </c>
      <c r="E116" s="4"/>
      <c r="F116" s="5">
        <v>44039</v>
      </c>
      <c r="G116" s="4">
        <v>8292487192</v>
      </c>
      <c r="H116" s="9">
        <v>823</v>
      </c>
      <c r="I116" s="6">
        <v>44483.297939814816</v>
      </c>
      <c r="J116" s="6">
        <v>44391.540289351855</v>
      </c>
      <c r="K116" s="3" t="s">
        <v>184</v>
      </c>
      <c r="L116" s="3" t="s">
        <v>184</v>
      </c>
      <c r="M116" t="b">
        <v>1</v>
      </c>
      <c r="N116" s="3" t="s">
        <v>99</v>
      </c>
      <c r="O116" s="3" t="s">
        <v>170</v>
      </c>
      <c r="P116" s="3" t="s">
        <v>1347</v>
      </c>
    </row>
    <row r="117" spans="1:16" x14ac:dyDescent="0.2">
      <c r="A117" s="3" t="s">
        <v>1655</v>
      </c>
      <c r="B117" s="3" t="s">
        <v>1656</v>
      </c>
      <c r="C117" s="3" t="s">
        <v>1657</v>
      </c>
      <c r="D117" s="3" t="s">
        <v>1354</v>
      </c>
      <c r="E117" s="4">
        <v>67505</v>
      </c>
      <c r="F117" s="5">
        <v>44320</v>
      </c>
      <c r="G117" s="4">
        <v>8099657838</v>
      </c>
      <c r="H117" s="9">
        <v>824</v>
      </c>
      <c r="I117" s="6">
        <v>44483.249618055554</v>
      </c>
      <c r="J117" s="6">
        <v>44391.540300925924</v>
      </c>
      <c r="K117" s="3" t="s">
        <v>184</v>
      </c>
      <c r="L117" s="3" t="s">
        <v>184</v>
      </c>
      <c r="M117" t="b">
        <v>1</v>
      </c>
      <c r="N117" s="3" t="s">
        <v>109</v>
      </c>
      <c r="O117" s="3" t="s">
        <v>170</v>
      </c>
      <c r="P117" s="3" t="s">
        <v>1347</v>
      </c>
    </row>
    <row r="118" spans="1:16" x14ac:dyDescent="0.2">
      <c r="A118" s="3" t="s">
        <v>1658</v>
      </c>
      <c r="B118" s="3" t="s">
        <v>1659</v>
      </c>
      <c r="C118" s="3" t="s">
        <v>1660</v>
      </c>
      <c r="D118" s="3" t="s">
        <v>182</v>
      </c>
      <c r="E118" s="4"/>
      <c r="F118" s="5">
        <v>43238</v>
      </c>
      <c r="G118" s="4">
        <v>5182617</v>
      </c>
      <c r="H118" s="9">
        <v>825</v>
      </c>
      <c r="I118" s="6">
        <v>44483.249618055554</v>
      </c>
      <c r="J118" s="6">
        <v>44391.540312500001</v>
      </c>
      <c r="K118" s="3" t="s">
        <v>184</v>
      </c>
      <c r="L118" s="3" t="s">
        <v>184</v>
      </c>
      <c r="M118" t="b">
        <v>1</v>
      </c>
      <c r="N118" s="3" t="s">
        <v>102</v>
      </c>
      <c r="O118" s="3" t="s">
        <v>170</v>
      </c>
      <c r="P118" s="3" t="s">
        <v>1347</v>
      </c>
    </row>
    <row r="119" spans="1:16" x14ac:dyDescent="0.2">
      <c r="A119" s="3" t="s">
        <v>1661</v>
      </c>
      <c r="B119" s="3" t="s">
        <v>1662</v>
      </c>
      <c r="C119" s="3" t="s">
        <v>1663</v>
      </c>
      <c r="D119" s="3" t="s">
        <v>393</v>
      </c>
      <c r="E119" s="4">
        <v>67011</v>
      </c>
      <c r="F119" s="5">
        <v>44056</v>
      </c>
      <c r="G119" s="4">
        <v>8095964199</v>
      </c>
      <c r="H119" s="9">
        <v>826</v>
      </c>
      <c r="I119" s="6">
        <v>44483.249618055554</v>
      </c>
      <c r="J119" s="6">
        <v>44391.540324074071</v>
      </c>
      <c r="K119" s="3" t="s">
        <v>184</v>
      </c>
      <c r="L119" s="3" t="s">
        <v>184</v>
      </c>
      <c r="M119" t="b">
        <v>1</v>
      </c>
      <c r="N119" s="3" t="s">
        <v>97</v>
      </c>
      <c r="O119" s="3" t="s">
        <v>170</v>
      </c>
      <c r="P119" s="3" t="s">
        <v>1347</v>
      </c>
    </row>
    <row r="120" spans="1:16" x14ac:dyDescent="0.2">
      <c r="A120" s="3" t="s">
        <v>1664</v>
      </c>
      <c r="B120" s="3" t="s">
        <v>1665</v>
      </c>
      <c r="C120" s="3" t="s">
        <v>1666</v>
      </c>
      <c r="D120" s="3" t="s">
        <v>393</v>
      </c>
      <c r="E120" s="4">
        <v>39116</v>
      </c>
      <c r="F120" s="5">
        <v>44348</v>
      </c>
      <c r="G120" s="4">
        <v>8297420950</v>
      </c>
      <c r="H120" s="9">
        <v>827</v>
      </c>
      <c r="I120" s="6">
        <v>44483.249618055554</v>
      </c>
      <c r="J120" s="6">
        <v>44391.540335648147</v>
      </c>
      <c r="K120" s="3" t="s">
        <v>184</v>
      </c>
      <c r="L120" s="3" t="s">
        <v>184</v>
      </c>
      <c r="M120" t="b">
        <v>1</v>
      </c>
      <c r="N120" s="3" t="s">
        <v>114</v>
      </c>
      <c r="O120" s="3" t="s">
        <v>170</v>
      </c>
      <c r="P120" s="3" t="s">
        <v>1347</v>
      </c>
    </row>
    <row r="121" spans="1:16" x14ac:dyDescent="0.2">
      <c r="A121" s="3" t="s">
        <v>1667</v>
      </c>
      <c r="B121" s="3" t="s">
        <v>1668</v>
      </c>
      <c r="C121" s="3" t="s">
        <v>1669</v>
      </c>
      <c r="D121" s="3" t="s">
        <v>182</v>
      </c>
      <c r="E121" s="4"/>
      <c r="F121" s="5">
        <v>40702</v>
      </c>
      <c r="G121" s="4">
        <v>9368785</v>
      </c>
      <c r="H121" s="9">
        <v>828</v>
      </c>
      <c r="I121" s="6">
        <v>44483.249618055554</v>
      </c>
      <c r="J121" s="6">
        <v>44391.540347222224</v>
      </c>
      <c r="K121" s="3" t="s">
        <v>184</v>
      </c>
      <c r="L121" s="3" t="s">
        <v>184</v>
      </c>
      <c r="M121" t="b">
        <v>1</v>
      </c>
      <c r="N121" s="3" t="s">
        <v>63</v>
      </c>
      <c r="O121" s="3" t="s">
        <v>170</v>
      </c>
      <c r="P121" s="3" t="s">
        <v>1347</v>
      </c>
    </row>
    <row r="122" spans="1:16" x14ac:dyDescent="0.2">
      <c r="A122" s="3" t="s">
        <v>1670</v>
      </c>
      <c r="B122" s="3" t="s">
        <v>1345</v>
      </c>
      <c r="C122" s="3" t="s">
        <v>1671</v>
      </c>
      <c r="D122" s="3" t="s">
        <v>393</v>
      </c>
      <c r="E122" s="4">
        <v>28914</v>
      </c>
      <c r="F122" s="5">
        <v>42294</v>
      </c>
      <c r="G122" s="4">
        <v>9146773</v>
      </c>
      <c r="H122" s="9">
        <v>829</v>
      </c>
      <c r="I122" s="6">
        <v>44483.249618055554</v>
      </c>
      <c r="J122" s="6">
        <v>44391.540347222224</v>
      </c>
      <c r="K122" s="3" t="s">
        <v>184</v>
      </c>
      <c r="L122" s="3" t="s">
        <v>184</v>
      </c>
      <c r="M122" t="b">
        <v>1</v>
      </c>
      <c r="N122" s="3" t="s">
        <v>48</v>
      </c>
      <c r="O122" s="3" t="s">
        <v>170</v>
      </c>
      <c r="P122" s="3" t="s">
        <v>1347</v>
      </c>
    </row>
    <row r="123" spans="1:16" x14ac:dyDescent="0.2">
      <c r="A123" s="3" t="s">
        <v>1672</v>
      </c>
      <c r="B123" s="3" t="s">
        <v>1673</v>
      </c>
      <c r="C123" s="3" t="s">
        <v>1674</v>
      </c>
      <c r="D123" s="3" t="s">
        <v>182</v>
      </c>
      <c r="E123" s="4"/>
      <c r="F123" s="5">
        <v>39473</v>
      </c>
      <c r="G123" s="4">
        <v>8589875</v>
      </c>
      <c r="H123" s="9">
        <v>830</v>
      </c>
      <c r="I123" s="6">
        <v>44483.249618055554</v>
      </c>
      <c r="J123" s="6">
        <v>44391.540358796294</v>
      </c>
      <c r="K123" s="3" t="s">
        <v>184</v>
      </c>
      <c r="L123" s="3" t="s">
        <v>184</v>
      </c>
      <c r="M123" t="b">
        <v>1</v>
      </c>
      <c r="N123" s="3" t="s">
        <v>91</v>
      </c>
      <c r="O123" s="3" t="s">
        <v>170</v>
      </c>
      <c r="P123" s="3" t="s">
        <v>1347</v>
      </c>
    </row>
    <row r="124" spans="1:16" x14ac:dyDescent="0.2">
      <c r="A124" s="3" t="s">
        <v>1675</v>
      </c>
      <c r="B124" s="3" t="s">
        <v>1676</v>
      </c>
      <c r="C124" s="3" t="s">
        <v>1677</v>
      </c>
      <c r="D124" s="3" t="s">
        <v>393</v>
      </c>
      <c r="E124" s="4">
        <v>21519</v>
      </c>
      <c r="F124" s="5">
        <v>44040</v>
      </c>
      <c r="G124" s="4">
        <v>8988122</v>
      </c>
      <c r="H124" s="9">
        <v>831</v>
      </c>
      <c r="I124" s="6">
        <v>44483.249618055554</v>
      </c>
      <c r="J124" s="6">
        <v>44391.540381944447</v>
      </c>
      <c r="K124" s="3" t="s">
        <v>184</v>
      </c>
      <c r="L124" s="3" t="s">
        <v>184</v>
      </c>
      <c r="M124" t="b">
        <v>1</v>
      </c>
      <c r="N124" s="3" t="s">
        <v>63</v>
      </c>
      <c r="O124" s="3" t="s">
        <v>170</v>
      </c>
      <c r="P124" s="3" t="s">
        <v>1347</v>
      </c>
    </row>
    <row r="125" spans="1:16" x14ac:dyDescent="0.2">
      <c r="A125" s="3" t="s">
        <v>1678</v>
      </c>
      <c r="B125" s="3" t="s">
        <v>1679</v>
      </c>
      <c r="C125" s="3" t="s">
        <v>1680</v>
      </c>
      <c r="D125" s="3" t="s">
        <v>393</v>
      </c>
      <c r="E125" s="4">
        <v>45619</v>
      </c>
      <c r="F125" s="5">
        <v>44002</v>
      </c>
      <c r="G125" s="4">
        <v>3657574</v>
      </c>
      <c r="H125" s="9">
        <v>832</v>
      </c>
      <c r="I125" s="6">
        <v>44483.249618055554</v>
      </c>
      <c r="J125" s="6">
        <v>44391.540393518517</v>
      </c>
      <c r="K125" s="3" t="s">
        <v>184</v>
      </c>
      <c r="L125" s="3" t="s">
        <v>184</v>
      </c>
      <c r="M125" t="b">
        <v>1</v>
      </c>
      <c r="N125" s="3" t="s">
        <v>90</v>
      </c>
      <c r="O125" s="3" t="s">
        <v>170</v>
      </c>
      <c r="P125" s="3" t="s">
        <v>1347</v>
      </c>
    </row>
    <row r="126" spans="1:16" x14ac:dyDescent="0.2">
      <c r="A126" s="3" t="s">
        <v>1681</v>
      </c>
      <c r="B126" s="3" t="s">
        <v>1682</v>
      </c>
      <c r="C126" s="3" t="s">
        <v>1683</v>
      </c>
      <c r="D126" s="3" t="s">
        <v>393</v>
      </c>
      <c r="E126" s="4">
        <v>24016</v>
      </c>
      <c r="F126" s="5">
        <v>43095</v>
      </c>
      <c r="G126" s="4">
        <v>7426843</v>
      </c>
      <c r="H126" s="9">
        <v>833</v>
      </c>
      <c r="I126" s="6">
        <v>44483.249618055554</v>
      </c>
      <c r="J126" s="6">
        <v>44391.540405092594</v>
      </c>
      <c r="K126" s="3" t="s">
        <v>184</v>
      </c>
      <c r="L126" s="3" t="s">
        <v>184</v>
      </c>
      <c r="M126" t="b">
        <v>1</v>
      </c>
      <c r="N126" s="3" t="s">
        <v>2312</v>
      </c>
      <c r="O126" s="3" t="s">
        <v>170</v>
      </c>
      <c r="P126" s="3" t="s">
        <v>1347</v>
      </c>
    </row>
    <row r="127" spans="1:16" x14ac:dyDescent="0.2">
      <c r="A127" s="3" t="s">
        <v>1684</v>
      </c>
      <c r="B127" s="3" t="s">
        <v>1685</v>
      </c>
      <c r="C127" s="3" t="s">
        <v>1686</v>
      </c>
      <c r="D127" s="3" t="s">
        <v>393</v>
      </c>
      <c r="E127" s="4">
        <v>21519</v>
      </c>
      <c r="F127" s="5">
        <v>44067</v>
      </c>
      <c r="G127" s="4">
        <v>4434736</v>
      </c>
      <c r="H127" s="9">
        <v>834</v>
      </c>
      <c r="I127" s="6">
        <v>44483.249618055554</v>
      </c>
      <c r="J127" s="6">
        <v>44391.540416666663</v>
      </c>
      <c r="K127" s="3" t="s">
        <v>184</v>
      </c>
      <c r="L127" s="3" t="s">
        <v>184</v>
      </c>
      <c r="M127" t="b">
        <v>1</v>
      </c>
      <c r="N127" s="3" t="s">
        <v>116</v>
      </c>
      <c r="O127" s="3" t="s">
        <v>170</v>
      </c>
      <c r="P127" s="3" t="s">
        <v>1347</v>
      </c>
    </row>
    <row r="128" spans="1:16" x14ac:dyDescent="0.2">
      <c r="A128" s="3" t="s">
        <v>1687</v>
      </c>
      <c r="B128" s="3" t="s">
        <v>1688</v>
      </c>
      <c r="C128" s="3" t="s">
        <v>1689</v>
      </c>
      <c r="D128" s="3" t="s">
        <v>393</v>
      </c>
      <c r="E128" s="4">
        <v>67520</v>
      </c>
      <c r="F128" s="5">
        <v>44333</v>
      </c>
      <c r="G128" s="4">
        <v>8299337678</v>
      </c>
      <c r="H128" s="9">
        <v>835</v>
      </c>
      <c r="I128" s="6">
        <v>44483.249618055554</v>
      </c>
      <c r="J128" s="6">
        <v>44391.54042824074</v>
      </c>
      <c r="K128" s="3" t="s">
        <v>184</v>
      </c>
      <c r="L128" s="3" t="s">
        <v>184</v>
      </c>
      <c r="M128" t="b">
        <v>1</v>
      </c>
      <c r="N128" s="3" t="s">
        <v>75</v>
      </c>
      <c r="O128" s="3" t="s">
        <v>170</v>
      </c>
      <c r="P128" s="3" t="s">
        <v>1347</v>
      </c>
    </row>
    <row r="129" spans="1:16" x14ac:dyDescent="0.2">
      <c r="A129" s="3" t="s">
        <v>1690</v>
      </c>
      <c r="B129" s="3" t="s">
        <v>1691</v>
      </c>
      <c r="C129" s="3" t="s">
        <v>1692</v>
      </c>
      <c r="D129" s="3" t="s">
        <v>182</v>
      </c>
      <c r="E129" s="4">
        <v>28318</v>
      </c>
      <c r="F129" s="5">
        <v>43825</v>
      </c>
      <c r="G129" s="4">
        <v>7987245</v>
      </c>
      <c r="H129" s="9">
        <v>836</v>
      </c>
      <c r="I129" s="6">
        <v>44483.24962962963</v>
      </c>
      <c r="J129" s="6">
        <v>44391.540439814817</v>
      </c>
      <c r="K129" s="3" t="s">
        <v>184</v>
      </c>
      <c r="L129" s="3" t="s">
        <v>184</v>
      </c>
      <c r="M129" t="b">
        <v>1</v>
      </c>
      <c r="N129" s="3" t="s">
        <v>63</v>
      </c>
      <c r="O129" s="3" t="s">
        <v>170</v>
      </c>
      <c r="P129" s="3" t="s">
        <v>1347</v>
      </c>
    </row>
    <row r="130" spans="1:16" x14ac:dyDescent="0.2">
      <c r="A130" s="3" t="s">
        <v>1693</v>
      </c>
      <c r="B130" s="3" t="s">
        <v>1694</v>
      </c>
      <c r="C130" s="3" t="s">
        <v>1695</v>
      </c>
      <c r="D130" s="3" t="s">
        <v>393</v>
      </c>
      <c r="E130" s="4">
        <v>41548</v>
      </c>
      <c r="F130" s="5">
        <v>42567</v>
      </c>
      <c r="G130" s="4">
        <v>7389138</v>
      </c>
      <c r="H130" s="9">
        <v>837</v>
      </c>
      <c r="I130" s="6">
        <v>44483.24962962963</v>
      </c>
      <c r="J130" s="6">
        <v>44391.540451388886</v>
      </c>
      <c r="K130" s="3" t="s">
        <v>184</v>
      </c>
      <c r="L130" s="3" t="s">
        <v>184</v>
      </c>
      <c r="M130" t="b">
        <v>1</v>
      </c>
      <c r="N130" s="3" t="s">
        <v>68</v>
      </c>
      <c r="O130" s="3" t="s">
        <v>170</v>
      </c>
      <c r="P130" s="3" t="s">
        <v>1347</v>
      </c>
    </row>
    <row r="131" spans="1:16" x14ac:dyDescent="0.2">
      <c r="A131" s="3" t="s">
        <v>1696</v>
      </c>
      <c r="B131" s="3" t="s">
        <v>1697</v>
      </c>
      <c r="C131" s="3" t="s">
        <v>1698</v>
      </c>
      <c r="D131" s="3" t="s">
        <v>393</v>
      </c>
      <c r="E131" s="4">
        <v>36616</v>
      </c>
      <c r="F131" s="5">
        <v>44173</v>
      </c>
      <c r="G131" s="4">
        <v>1719399</v>
      </c>
      <c r="H131" s="9">
        <v>838</v>
      </c>
      <c r="I131" s="6">
        <v>44483.24962962963</v>
      </c>
      <c r="J131" s="6">
        <v>44391.540462962963</v>
      </c>
      <c r="K131" s="3" t="s">
        <v>184</v>
      </c>
      <c r="L131" s="3" t="s">
        <v>184</v>
      </c>
      <c r="M131" t="b">
        <v>1</v>
      </c>
      <c r="N131" s="3" t="s">
        <v>109</v>
      </c>
      <c r="O131" s="3" t="s">
        <v>170</v>
      </c>
      <c r="P131" s="3" t="s">
        <v>1347</v>
      </c>
    </row>
    <row r="132" spans="1:16" x14ac:dyDescent="0.2">
      <c r="A132" s="3" t="s">
        <v>1699</v>
      </c>
      <c r="B132" s="3" t="s">
        <v>1700</v>
      </c>
      <c r="C132" s="3" t="s">
        <v>1701</v>
      </c>
      <c r="D132" s="3" t="s">
        <v>182</v>
      </c>
      <c r="E132" s="4"/>
      <c r="F132" s="5">
        <v>44172</v>
      </c>
      <c r="G132" s="4">
        <v>8299705288</v>
      </c>
      <c r="H132" s="9">
        <v>839</v>
      </c>
      <c r="I132" s="6">
        <v>44483.24962962963</v>
      </c>
      <c r="J132" s="6">
        <v>44391.54047453704</v>
      </c>
      <c r="K132" s="3" t="s">
        <v>184</v>
      </c>
      <c r="L132" s="3" t="s">
        <v>184</v>
      </c>
      <c r="M132" t="b">
        <v>1</v>
      </c>
      <c r="N132" s="3" t="s">
        <v>50</v>
      </c>
      <c r="O132" s="3" t="s">
        <v>170</v>
      </c>
      <c r="P132" s="3" t="s">
        <v>1347</v>
      </c>
    </row>
    <row r="133" spans="1:16" x14ac:dyDescent="0.2">
      <c r="A133" s="3" t="s">
        <v>228</v>
      </c>
      <c r="B133" s="3" t="s">
        <v>229</v>
      </c>
      <c r="C133" s="3" t="s">
        <v>230</v>
      </c>
      <c r="D133" s="3" t="s">
        <v>182</v>
      </c>
      <c r="E133" s="4"/>
      <c r="F133" s="5">
        <v>44287</v>
      </c>
      <c r="G133" s="4">
        <v>8298992467</v>
      </c>
      <c r="H133" s="9">
        <v>840</v>
      </c>
      <c r="I133" s="6">
        <v>44483.24962962963</v>
      </c>
      <c r="J133" s="6">
        <v>44391.540486111109</v>
      </c>
      <c r="K133" s="3" t="s">
        <v>184</v>
      </c>
      <c r="L133" s="3" t="s">
        <v>184</v>
      </c>
      <c r="M133" t="b">
        <v>1</v>
      </c>
      <c r="N133" s="3" t="s">
        <v>121</v>
      </c>
      <c r="O133" s="3" t="s">
        <v>170</v>
      </c>
      <c r="P133" s="3" t="s">
        <v>1347</v>
      </c>
    </row>
    <row r="134" spans="1:16" x14ac:dyDescent="0.2">
      <c r="A134" s="3" t="s">
        <v>1702</v>
      </c>
      <c r="B134" s="3" t="s">
        <v>1703</v>
      </c>
      <c r="C134" s="3" t="s">
        <v>1704</v>
      </c>
      <c r="D134" s="3" t="s">
        <v>182</v>
      </c>
      <c r="E134" s="4"/>
      <c r="F134" s="5">
        <v>38922</v>
      </c>
      <c r="G134" s="4">
        <v>7238117</v>
      </c>
      <c r="H134" s="9">
        <v>841</v>
      </c>
      <c r="I134" s="6">
        <v>44483.24962962963</v>
      </c>
      <c r="J134" s="6">
        <v>44391.540497685186</v>
      </c>
      <c r="K134" s="3" t="s">
        <v>184</v>
      </c>
      <c r="L134" s="3" t="s">
        <v>184</v>
      </c>
      <c r="M134" t="b">
        <v>1</v>
      </c>
      <c r="N134" s="3" t="s">
        <v>62</v>
      </c>
      <c r="O134" s="3" t="s">
        <v>170</v>
      </c>
      <c r="P134" s="3" t="s">
        <v>1347</v>
      </c>
    </row>
    <row r="135" spans="1:16" x14ac:dyDescent="0.2">
      <c r="A135" s="3" t="s">
        <v>1705</v>
      </c>
      <c r="B135" s="3" t="s">
        <v>1706</v>
      </c>
      <c r="C135" s="3" t="s">
        <v>1707</v>
      </c>
      <c r="D135" s="3" t="s">
        <v>393</v>
      </c>
      <c r="E135" s="4">
        <v>24316</v>
      </c>
      <c r="F135" s="5">
        <v>43770</v>
      </c>
      <c r="G135" s="4">
        <v>8294532445</v>
      </c>
      <c r="H135" s="9">
        <v>842</v>
      </c>
      <c r="I135" s="6">
        <v>44483.24962962963</v>
      </c>
      <c r="J135" s="6">
        <v>44391.540509259263</v>
      </c>
      <c r="K135" s="3" t="s">
        <v>184</v>
      </c>
      <c r="L135" s="3" t="s">
        <v>184</v>
      </c>
      <c r="M135" t="b">
        <v>1</v>
      </c>
      <c r="N135" s="3" t="s">
        <v>60</v>
      </c>
      <c r="O135" s="3" t="s">
        <v>170</v>
      </c>
      <c r="P135" s="3" t="s">
        <v>1347</v>
      </c>
    </row>
    <row r="136" spans="1:16" x14ac:dyDescent="0.2">
      <c r="A136" s="3" t="s">
        <v>1708</v>
      </c>
      <c r="B136" s="3" t="s">
        <v>1709</v>
      </c>
      <c r="C136" s="3" t="s">
        <v>1710</v>
      </c>
      <c r="D136" s="3" t="s">
        <v>393</v>
      </c>
      <c r="E136" s="4">
        <v>31917</v>
      </c>
      <c r="F136" s="5">
        <v>43595</v>
      </c>
      <c r="G136" s="4">
        <v>4827384</v>
      </c>
      <c r="H136" s="9">
        <v>843</v>
      </c>
      <c r="I136" s="6">
        <v>44483.24962962963</v>
      </c>
      <c r="J136" s="6">
        <v>44391.540520833332</v>
      </c>
      <c r="K136" s="3" t="s">
        <v>184</v>
      </c>
      <c r="L136" s="3" t="s">
        <v>184</v>
      </c>
      <c r="M136" t="b">
        <v>1</v>
      </c>
      <c r="N136" s="3" t="s">
        <v>54</v>
      </c>
      <c r="O136" s="3" t="s">
        <v>170</v>
      </c>
      <c r="P136" s="3" t="s">
        <v>1347</v>
      </c>
    </row>
    <row r="137" spans="1:16" x14ac:dyDescent="0.2">
      <c r="A137" s="3" t="s">
        <v>1711</v>
      </c>
      <c r="B137" s="3" t="s">
        <v>1712</v>
      </c>
      <c r="C137" s="3" t="s">
        <v>1713</v>
      </c>
      <c r="D137" s="3" t="s">
        <v>393</v>
      </c>
      <c r="E137" s="4">
        <v>48114</v>
      </c>
      <c r="F137" s="5">
        <v>43238</v>
      </c>
      <c r="G137" s="4">
        <v>4817194</v>
      </c>
      <c r="H137" s="9">
        <v>844</v>
      </c>
      <c r="I137" s="6">
        <v>44483.24962962963</v>
      </c>
      <c r="J137" s="6">
        <v>44391.540532407409</v>
      </c>
      <c r="K137" s="3" t="s">
        <v>184</v>
      </c>
      <c r="L137" s="3" t="s">
        <v>184</v>
      </c>
      <c r="M137" t="b">
        <v>1</v>
      </c>
      <c r="N137" s="3" t="s">
        <v>89</v>
      </c>
      <c r="O137" s="3" t="s">
        <v>170</v>
      </c>
      <c r="P137" s="3" t="s">
        <v>1347</v>
      </c>
    </row>
    <row r="138" spans="1:16" x14ac:dyDescent="0.2">
      <c r="A138" s="3" t="s">
        <v>434</v>
      </c>
      <c r="B138" s="3" t="s">
        <v>435</v>
      </c>
      <c r="C138" s="3" t="s">
        <v>1714</v>
      </c>
      <c r="D138" s="3" t="s">
        <v>393</v>
      </c>
      <c r="E138" s="4">
        <v>45619</v>
      </c>
      <c r="F138" s="5">
        <v>44228</v>
      </c>
      <c r="G138" s="4">
        <v>8097012272</v>
      </c>
      <c r="H138" s="9">
        <v>845</v>
      </c>
      <c r="I138" s="6">
        <v>44483.24962962963</v>
      </c>
      <c r="J138" s="6">
        <v>44391.540543981479</v>
      </c>
      <c r="K138" s="3" t="s">
        <v>184</v>
      </c>
      <c r="L138" s="3" t="s">
        <v>184</v>
      </c>
      <c r="M138" t="b">
        <v>1</v>
      </c>
      <c r="N138" s="3" t="s">
        <v>124</v>
      </c>
      <c r="O138" s="3" t="s">
        <v>170</v>
      </c>
      <c r="P138" s="3" t="s">
        <v>1347</v>
      </c>
    </row>
    <row r="139" spans="1:16" x14ac:dyDescent="0.2">
      <c r="A139" s="3" t="s">
        <v>1715</v>
      </c>
      <c r="B139" s="3" t="s">
        <v>1716</v>
      </c>
      <c r="C139" s="3" t="s">
        <v>1717</v>
      </c>
      <c r="D139" s="3" t="s">
        <v>182</v>
      </c>
      <c r="E139" s="4"/>
      <c r="F139" s="5">
        <v>43264</v>
      </c>
      <c r="G139" s="4">
        <v>8865973</v>
      </c>
      <c r="H139" s="9">
        <v>846</v>
      </c>
      <c r="I139" s="6">
        <v>44483.24962962963</v>
      </c>
      <c r="J139" s="6">
        <v>44391.540555555555</v>
      </c>
      <c r="K139" s="3" t="s">
        <v>184</v>
      </c>
      <c r="L139" s="3" t="s">
        <v>184</v>
      </c>
      <c r="M139" t="b">
        <v>1</v>
      </c>
      <c r="N139" s="3" t="s">
        <v>94</v>
      </c>
      <c r="O139" s="3" t="s">
        <v>170</v>
      </c>
      <c r="P139" s="3" t="s">
        <v>1347</v>
      </c>
    </row>
    <row r="140" spans="1:16" x14ac:dyDescent="0.2">
      <c r="A140" s="3" t="s">
        <v>1718</v>
      </c>
      <c r="B140" s="3" t="s">
        <v>1719</v>
      </c>
      <c r="C140" s="3" t="s">
        <v>1720</v>
      </c>
      <c r="D140" s="3" t="s">
        <v>182</v>
      </c>
      <c r="E140" s="4"/>
      <c r="F140" s="5">
        <v>42752</v>
      </c>
      <c r="G140" s="4">
        <v>4616426</v>
      </c>
      <c r="H140" s="9">
        <v>847</v>
      </c>
      <c r="I140" s="6">
        <v>44483.24962962963</v>
      </c>
      <c r="J140" s="6">
        <v>44391.540567129632</v>
      </c>
      <c r="K140" s="3" t="s">
        <v>184</v>
      </c>
      <c r="L140" s="3" t="s">
        <v>184</v>
      </c>
      <c r="M140" t="b">
        <v>1</v>
      </c>
      <c r="N140" s="3" t="s">
        <v>48</v>
      </c>
      <c r="O140" s="3" t="s">
        <v>170</v>
      </c>
      <c r="P140" s="3" t="s">
        <v>1347</v>
      </c>
    </row>
    <row r="141" spans="1:16" x14ac:dyDescent="0.2">
      <c r="A141" s="3" t="s">
        <v>1721</v>
      </c>
      <c r="B141" s="3" t="s">
        <v>1722</v>
      </c>
      <c r="C141" s="3" t="s">
        <v>1723</v>
      </c>
      <c r="D141" s="3" t="s">
        <v>393</v>
      </c>
      <c r="E141" s="4">
        <v>5920</v>
      </c>
      <c r="F141" s="5">
        <v>44145</v>
      </c>
      <c r="G141" s="4">
        <v>8093394223</v>
      </c>
      <c r="H141" s="9">
        <v>848</v>
      </c>
      <c r="I141" s="6">
        <v>44483.249641203707</v>
      </c>
      <c r="J141" s="6">
        <v>44391.540578703702</v>
      </c>
      <c r="K141" s="3" t="s">
        <v>184</v>
      </c>
      <c r="L141" s="3" t="s">
        <v>184</v>
      </c>
      <c r="M141" t="b">
        <v>1</v>
      </c>
      <c r="N141" s="3" t="s">
        <v>51</v>
      </c>
      <c r="O141" s="3" t="s">
        <v>170</v>
      </c>
      <c r="P141" s="3" t="s">
        <v>1347</v>
      </c>
    </row>
    <row r="142" spans="1:16" x14ac:dyDescent="0.2">
      <c r="A142" s="3" t="s">
        <v>1724</v>
      </c>
      <c r="B142" s="3" t="s">
        <v>1725</v>
      </c>
      <c r="C142" s="3" t="s">
        <v>1726</v>
      </c>
      <c r="D142" s="3" t="s">
        <v>182</v>
      </c>
      <c r="E142" s="4"/>
      <c r="F142" s="5">
        <v>43238</v>
      </c>
      <c r="G142" s="4">
        <v>4623478</v>
      </c>
      <c r="H142" s="9">
        <v>849</v>
      </c>
      <c r="I142" s="6">
        <v>44483.249641203707</v>
      </c>
      <c r="J142" s="6">
        <v>44391.540590277778</v>
      </c>
      <c r="K142" s="3" t="s">
        <v>184</v>
      </c>
      <c r="L142" s="3" t="s">
        <v>184</v>
      </c>
      <c r="M142" t="b">
        <v>1</v>
      </c>
      <c r="N142" s="3" t="s">
        <v>87</v>
      </c>
      <c r="O142" s="3" t="s">
        <v>170</v>
      </c>
      <c r="P142" s="3" t="s">
        <v>1347</v>
      </c>
    </row>
    <row r="143" spans="1:16" x14ac:dyDescent="0.2">
      <c r="A143" s="3" t="s">
        <v>1727</v>
      </c>
      <c r="B143" s="3" t="s">
        <v>1728</v>
      </c>
      <c r="C143" s="3" t="s">
        <v>1729</v>
      </c>
      <c r="D143" s="3" t="s">
        <v>393</v>
      </c>
      <c r="E143" s="4">
        <v>2314</v>
      </c>
      <c r="F143" s="5">
        <v>44116</v>
      </c>
      <c r="G143" s="4">
        <v>8095677381</v>
      </c>
      <c r="H143" s="9">
        <v>850</v>
      </c>
      <c r="I143" s="6">
        <v>44483.249641203707</v>
      </c>
      <c r="J143" s="6">
        <v>44391.540601851855</v>
      </c>
      <c r="K143" s="3" t="s">
        <v>184</v>
      </c>
      <c r="L143" s="3" t="s">
        <v>184</v>
      </c>
      <c r="M143" t="b">
        <v>1</v>
      </c>
      <c r="N143" s="3" t="s">
        <v>61</v>
      </c>
      <c r="O143" s="3" t="s">
        <v>170</v>
      </c>
      <c r="P143" s="3" t="s">
        <v>1347</v>
      </c>
    </row>
    <row r="144" spans="1:16" x14ac:dyDescent="0.2">
      <c r="A144" s="3" t="s">
        <v>1730</v>
      </c>
      <c r="B144" s="3" t="s">
        <v>1731</v>
      </c>
      <c r="C144" s="3" t="s">
        <v>1732</v>
      </c>
      <c r="D144" s="3" t="s">
        <v>393</v>
      </c>
      <c r="E144" s="4"/>
      <c r="F144" s="5">
        <v>44341</v>
      </c>
      <c r="G144" s="4">
        <v>8299011523</v>
      </c>
      <c r="H144" s="9">
        <v>851</v>
      </c>
      <c r="I144" s="6">
        <v>44483.249641203707</v>
      </c>
      <c r="J144" s="6">
        <v>44391.540613425925</v>
      </c>
      <c r="K144" s="3" t="s">
        <v>184</v>
      </c>
      <c r="L144" s="3" t="s">
        <v>184</v>
      </c>
      <c r="M144" t="b">
        <v>1</v>
      </c>
      <c r="N144" s="3" t="s">
        <v>115</v>
      </c>
      <c r="O144" s="3" t="s">
        <v>170</v>
      </c>
      <c r="P144" s="3" t="s">
        <v>1347</v>
      </c>
    </row>
    <row r="145" spans="1:16" x14ac:dyDescent="0.2">
      <c r="A145" s="3" t="s">
        <v>1733</v>
      </c>
      <c r="B145" s="3" t="s">
        <v>1734</v>
      </c>
      <c r="C145" s="3" t="s">
        <v>1735</v>
      </c>
      <c r="D145" s="3" t="s">
        <v>393</v>
      </c>
      <c r="E145" s="4">
        <v>35118</v>
      </c>
      <c r="F145" s="5">
        <v>43501</v>
      </c>
      <c r="G145" s="4">
        <v>9499181</v>
      </c>
      <c r="H145" s="9">
        <v>852</v>
      </c>
      <c r="I145" s="6">
        <v>44483.249641203707</v>
      </c>
      <c r="J145" s="6">
        <v>44391.540625000001</v>
      </c>
      <c r="K145" s="3" t="s">
        <v>184</v>
      </c>
      <c r="L145" s="3" t="s">
        <v>184</v>
      </c>
      <c r="M145" t="b">
        <v>1</v>
      </c>
      <c r="N145" s="3" t="s">
        <v>35</v>
      </c>
      <c r="O145" s="3" t="s">
        <v>170</v>
      </c>
      <c r="P145" s="3" t="s">
        <v>1347</v>
      </c>
    </row>
    <row r="146" spans="1:16" x14ac:dyDescent="0.2">
      <c r="A146" s="3" t="s">
        <v>1736</v>
      </c>
      <c r="B146" s="3" t="s">
        <v>1737</v>
      </c>
      <c r="C146" s="3" t="s">
        <v>1738</v>
      </c>
      <c r="D146" s="3" t="s">
        <v>393</v>
      </c>
      <c r="E146" s="4">
        <v>15915</v>
      </c>
      <c r="F146" s="5">
        <v>43479</v>
      </c>
      <c r="G146" s="4">
        <v>4273797</v>
      </c>
      <c r="H146" s="9">
        <v>853</v>
      </c>
      <c r="I146" s="6">
        <v>44483.249641203707</v>
      </c>
      <c r="J146" s="6">
        <v>44391.540636574071</v>
      </c>
      <c r="K146" s="3" t="s">
        <v>184</v>
      </c>
      <c r="L146" s="3" t="s">
        <v>184</v>
      </c>
      <c r="M146" t="b">
        <v>1</v>
      </c>
      <c r="N146" s="3" t="s">
        <v>122</v>
      </c>
      <c r="O146" s="3" t="s">
        <v>170</v>
      </c>
      <c r="P146" s="3" t="s">
        <v>1347</v>
      </c>
    </row>
    <row r="147" spans="1:16" x14ac:dyDescent="0.2">
      <c r="A147" s="3" t="s">
        <v>1739</v>
      </c>
      <c r="B147" s="3" t="s">
        <v>1740</v>
      </c>
      <c r="C147" s="3" t="s">
        <v>1741</v>
      </c>
      <c r="D147" s="3" t="s">
        <v>393</v>
      </c>
      <c r="E147" s="4">
        <v>35118</v>
      </c>
      <c r="F147" s="5">
        <v>43598</v>
      </c>
      <c r="G147" s="4">
        <v>8158217</v>
      </c>
      <c r="H147" s="9">
        <v>854</v>
      </c>
      <c r="I147" s="6">
        <v>44483.249641203707</v>
      </c>
      <c r="J147" s="6">
        <v>44391.540648148148</v>
      </c>
      <c r="K147" s="3" t="s">
        <v>184</v>
      </c>
      <c r="L147" s="3" t="s">
        <v>184</v>
      </c>
      <c r="M147" t="b">
        <v>1</v>
      </c>
      <c r="N147" s="3" t="s">
        <v>63</v>
      </c>
      <c r="O147" s="3" t="s">
        <v>170</v>
      </c>
      <c r="P147" s="3" t="s">
        <v>1347</v>
      </c>
    </row>
    <row r="148" spans="1:16" x14ac:dyDescent="0.2">
      <c r="A148" s="3" t="s">
        <v>1742</v>
      </c>
      <c r="B148" s="3" t="s">
        <v>1743</v>
      </c>
      <c r="C148" s="3" t="s">
        <v>1744</v>
      </c>
      <c r="D148" s="3" t="s">
        <v>182</v>
      </c>
      <c r="E148" s="4">
        <v>61304</v>
      </c>
      <c r="F148" s="5">
        <v>43437</v>
      </c>
      <c r="G148" s="4">
        <v>3522216</v>
      </c>
      <c r="H148" s="9">
        <v>855</v>
      </c>
      <c r="I148" s="6">
        <v>44483.29896990741</v>
      </c>
      <c r="J148" s="6">
        <v>44391.540659722225</v>
      </c>
      <c r="K148" s="3" t="s">
        <v>184</v>
      </c>
      <c r="L148" s="3" t="s">
        <v>184</v>
      </c>
      <c r="M148" t="b">
        <v>1</v>
      </c>
      <c r="N148" s="3" t="s">
        <v>58</v>
      </c>
      <c r="O148" s="3" t="s">
        <v>170</v>
      </c>
      <c r="P148" s="3" t="s">
        <v>1347</v>
      </c>
    </row>
    <row r="149" spans="1:16" x14ac:dyDescent="0.2">
      <c r="A149" s="3" t="s">
        <v>1745</v>
      </c>
      <c r="B149" s="3" t="s">
        <v>1746</v>
      </c>
      <c r="C149" s="3" t="s">
        <v>1747</v>
      </c>
      <c r="D149" s="3" t="s">
        <v>182</v>
      </c>
      <c r="E149" s="4"/>
      <c r="F149" s="5">
        <v>43832</v>
      </c>
      <c r="G149" s="4">
        <v>8139564</v>
      </c>
      <c r="H149" s="9">
        <v>856</v>
      </c>
      <c r="I149" s="6">
        <v>44483.249641203707</v>
      </c>
      <c r="J149" s="6">
        <v>44391.540671296294</v>
      </c>
      <c r="K149" s="3" t="s">
        <v>184</v>
      </c>
      <c r="L149" s="3" t="s">
        <v>184</v>
      </c>
      <c r="M149" t="b">
        <v>1</v>
      </c>
      <c r="N149" s="3" t="s">
        <v>109</v>
      </c>
      <c r="O149" s="3" t="s">
        <v>170</v>
      </c>
      <c r="P149" s="3" t="s">
        <v>1347</v>
      </c>
    </row>
    <row r="150" spans="1:16" x14ac:dyDescent="0.2">
      <c r="A150" s="3" t="s">
        <v>1748</v>
      </c>
      <c r="B150" s="3" t="s">
        <v>1749</v>
      </c>
      <c r="C150" s="3" t="s">
        <v>1747</v>
      </c>
      <c r="D150" s="3" t="s">
        <v>182</v>
      </c>
      <c r="E150" s="4"/>
      <c r="F150" s="5">
        <v>42843</v>
      </c>
      <c r="G150" s="4">
        <v>4288912</v>
      </c>
      <c r="H150" s="9">
        <v>857</v>
      </c>
      <c r="I150" s="6">
        <v>44483.249641203707</v>
      </c>
      <c r="J150" s="6">
        <v>44391.540682870371</v>
      </c>
      <c r="K150" s="3" t="s">
        <v>184</v>
      </c>
      <c r="L150" s="3" t="s">
        <v>184</v>
      </c>
      <c r="M150" t="b">
        <v>1</v>
      </c>
      <c r="N150" s="3" t="s">
        <v>67</v>
      </c>
      <c r="O150" s="3" t="s">
        <v>170</v>
      </c>
      <c r="P150" s="3" t="s">
        <v>1347</v>
      </c>
    </row>
    <row r="151" spans="1:16" x14ac:dyDescent="0.2">
      <c r="A151" s="3" t="s">
        <v>1750</v>
      </c>
      <c r="B151" s="3" t="s">
        <v>1751</v>
      </c>
      <c r="C151" s="3" t="s">
        <v>1752</v>
      </c>
      <c r="D151" s="3" t="s">
        <v>393</v>
      </c>
      <c r="E151" s="4">
        <v>47811</v>
      </c>
      <c r="F151" s="5">
        <v>42919</v>
      </c>
      <c r="G151" s="4">
        <v>7315111</v>
      </c>
      <c r="H151" s="9">
        <v>858</v>
      </c>
      <c r="I151" s="6">
        <v>44483.249606481484</v>
      </c>
      <c r="J151" s="6">
        <v>44391.540694444448</v>
      </c>
      <c r="K151" s="3" t="s">
        <v>184</v>
      </c>
      <c r="L151" s="3" t="s">
        <v>184</v>
      </c>
      <c r="M151" t="b">
        <v>1</v>
      </c>
      <c r="N151" s="3" t="s">
        <v>73</v>
      </c>
      <c r="O151" s="3" t="s">
        <v>170</v>
      </c>
      <c r="P151" s="3" t="s">
        <v>1347</v>
      </c>
    </row>
    <row r="152" spans="1:16" x14ac:dyDescent="0.2">
      <c r="A152" s="3" t="s">
        <v>1753</v>
      </c>
      <c r="B152" s="3" t="s">
        <v>1754</v>
      </c>
      <c r="C152" s="3" t="s">
        <v>1755</v>
      </c>
      <c r="D152" s="3" t="s">
        <v>393</v>
      </c>
      <c r="E152" s="4">
        <v>29810</v>
      </c>
      <c r="F152" s="5">
        <v>44137</v>
      </c>
      <c r="G152" s="4">
        <v>8299169586</v>
      </c>
      <c r="H152" s="9">
        <v>859</v>
      </c>
      <c r="I152" s="6">
        <v>44483.300740740742</v>
      </c>
      <c r="J152" s="6">
        <v>44391.540717592594</v>
      </c>
      <c r="K152" s="3" t="s">
        <v>184</v>
      </c>
      <c r="L152" s="3" t="s">
        <v>184</v>
      </c>
      <c r="M152" t="b">
        <v>1</v>
      </c>
      <c r="N152" s="3" t="s">
        <v>41</v>
      </c>
      <c r="O152" s="3" t="s">
        <v>170</v>
      </c>
      <c r="P152" s="3" t="s">
        <v>1347</v>
      </c>
    </row>
    <row r="153" spans="1:16" x14ac:dyDescent="0.2">
      <c r="A153" s="3" t="s">
        <v>1756</v>
      </c>
      <c r="B153" s="3" t="s">
        <v>1757</v>
      </c>
      <c r="C153" s="3" t="s">
        <v>1758</v>
      </c>
      <c r="D153" s="3" t="s">
        <v>182</v>
      </c>
      <c r="E153" s="4"/>
      <c r="F153" s="5">
        <v>39644</v>
      </c>
      <c r="G153" s="4">
        <v>6655445</v>
      </c>
      <c r="H153" s="9">
        <v>860</v>
      </c>
      <c r="I153" s="6">
        <v>44483.249606481484</v>
      </c>
      <c r="J153" s="6">
        <v>44391.540729166663</v>
      </c>
      <c r="K153" s="3" t="s">
        <v>184</v>
      </c>
      <c r="L153" s="3" t="s">
        <v>184</v>
      </c>
      <c r="M153" t="b">
        <v>1</v>
      </c>
      <c r="N153" s="3" t="s">
        <v>62</v>
      </c>
      <c r="O153" s="3" t="s">
        <v>170</v>
      </c>
      <c r="P153" s="3" t="s">
        <v>1347</v>
      </c>
    </row>
    <row r="154" spans="1:16" x14ac:dyDescent="0.2">
      <c r="A154" s="3" t="s">
        <v>1759</v>
      </c>
      <c r="B154" s="3" t="s">
        <v>1760</v>
      </c>
      <c r="C154" s="3" t="s">
        <v>1761</v>
      </c>
      <c r="D154" s="3" t="s">
        <v>182</v>
      </c>
      <c r="E154" s="4"/>
      <c r="F154" s="5">
        <v>44354</v>
      </c>
      <c r="G154" s="4">
        <v>8298686303</v>
      </c>
      <c r="H154" s="9">
        <v>861</v>
      </c>
      <c r="I154" s="6">
        <v>44483.301516203705</v>
      </c>
      <c r="J154" s="6">
        <v>44391.54074074074</v>
      </c>
      <c r="K154" s="3" t="s">
        <v>184</v>
      </c>
      <c r="L154" s="3" t="s">
        <v>184</v>
      </c>
      <c r="M154" t="b">
        <v>1</v>
      </c>
      <c r="N154" s="3" t="s">
        <v>53</v>
      </c>
      <c r="O154" s="3" t="s">
        <v>170</v>
      </c>
      <c r="P154" s="3" t="s">
        <v>1347</v>
      </c>
    </row>
    <row r="155" spans="1:16" x14ac:dyDescent="0.2">
      <c r="A155" s="3" t="s">
        <v>1762</v>
      </c>
      <c r="B155" s="3" t="s">
        <v>1763</v>
      </c>
      <c r="C155" s="3" t="s">
        <v>1764</v>
      </c>
      <c r="D155" s="3" t="s">
        <v>393</v>
      </c>
      <c r="E155" s="4">
        <v>24820</v>
      </c>
      <c r="F155" s="5">
        <v>43374</v>
      </c>
      <c r="G155" s="4">
        <v>7231418</v>
      </c>
      <c r="H155" s="9">
        <v>862</v>
      </c>
      <c r="I155" s="6">
        <v>44483.249606481484</v>
      </c>
      <c r="J155" s="6">
        <v>44391.540752314817</v>
      </c>
      <c r="K155" s="3" t="s">
        <v>184</v>
      </c>
      <c r="L155" s="3" t="s">
        <v>184</v>
      </c>
      <c r="M155" t="b">
        <v>1</v>
      </c>
      <c r="N155" s="3" t="s">
        <v>70</v>
      </c>
      <c r="O155" s="3" t="s">
        <v>170</v>
      </c>
      <c r="P155" s="3" t="s">
        <v>1347</v>
      </c>
    </row>
    <row r="156" spans="1:16" x14ac:dyDescent="0.2">
      <c r="A156" s="3" t="s">
        <v>1765</v>
      </c>
      <c r="B156" s="3" t="s">
        <v>1766</v>
      </c>
      <c r="C156" s="3" t="s">
        <v>1767</v>
      </c>
      <c r="D156" s="3" t="s">
        <v>393</v>
      </c>
      <c r="E156" s="4">
        <v>17619</v>
      </c>
      <c r="F156" s="5">
        <v>43770</v>
      </c>
      <c r="G156" s="4">
        <v>9931247</v>
      </c>
      <c r="H156" s="9">
        <v>863</v>
      </c>
      <c r="I156" s="6">
        <v>44483.249606481484</v>
      </c>
      <c r="J156" s="6">
        <v>44391.540752314817</v>
      </c>
      <c r="K156" s="3" t="s">
        <v>184</v>
      </c>
      <c r="L156" s="3" t="s">
        <v>184</v>
      </c>
      <c r="M156" t="b">
        <v>1</v>
      </c>
      <c r="N156" s="3" t="s">
        <v>64</v>
      </c>
      <c r="O156" s="3" t="s">
        <v>170</v>
      </c>
      <c r="P156" s="3" t="s">
        <v>1347</v>
      </c>
    </row>
    <row r="157" spans="1:16" x14ac:dyDescent="0.2">
      <c r="A157" s="3" t="s">
        <v>1768</v>
      </c>
      <c r="B157" s="3" t="s">
        <v>1769</v>
      </c>
      <c r="C157" s="3" t="s">
        <v>1770</v>
      </c>
      <c r="D157" s="3" t="s">
        <v>393</v>
      </c>
      <c r="E157" s="4"/>
      <c r="F157" s="5">
        <v>44319</v>
      </c>
      <c r="G157" s="4">
        <v>6573466</v>
      </c>
      <c r="H157" s="9">
        <v>864</v>
      </c>
      <c r="I157" s="6">
        <v>44483.249606481484</v>
      </c>
      <c r="J157" s="6">
        <v>44391.540775462963</v>
      </c>
      <c r="K157" s="3" t="s">
        <v>184</v>
      </c>
      <c r="L157" s="3" t="s">
        <v>184</v>
      </c>
      <c r="M157" t="b">
        <v>1</v>
      </c>
      <c r="N157" s="3" t="s">
        <v>60</v>
      </c>
      <c r="O157" s="3" t="s">
        <v>170</v>
      </c>
      <c r="P157" s="3" t="s">
        <v>1347</v>
      </c>
    </row>
    <row r="158" spans="1:16" x14ac:dyDescent="0.2">
      <c r="A158" s="3" t="s">
        <v>1771</v>
      </c>
      <c r="B158" s="3" t="s">
        <v>1772</v>
      </c>
      <c r="C158" s="3" t="s">
        <v>1773</v>
      </c>
      <c r="D158" s="3" t="s">
        <v>393</v>
      </c>
      <c r="E158" s="4">
        <v>18618</v>
      </c>
      <c r="F158" s="5">
        <v>43830</v>
      </c>
      <c r="G158" s="4">
        <v>2962257</v>
      </c>
      <c r="H158" s="9">
        <v>865</v>
      </c>
      <c r="I158" s="6">
        <v>44483.304259259261</v>
      </c>
      <c r="J158" s="6">
        <v>44391.54078703704</v>
      </c>
      <c r="K158" s="3" t="s">
        <v>184</v>
      </c>
      <c r="L158" s="3" t="s">
        <v>184</v>
      </c>
      <c r="M158" t="b">
        <v>1</v>
      </c>
      <c r="N158" s="3" t="s">
        <v>74</v>
      </c>
      <c r="O158" s="3" t="s">
        <v>170</v>
      </c>
      <c r="P158" s="3" t="s">
        <v>1347</v>
      </c>
    </row>
    <row r="159" spans="1:16" x14ac:dyDescent="0.2">
      <c r="A159" s="3" t="s">
        <v>1774</v>
      </c>
      <c r="B159" s="3" t="s">
        <v>1775</v>
      </c>
      <c r="C159" s="3" t="s">
        <v>1776</v>
      </c>
      <c r="D159" s="3" t="s">
        <v>182</v>
      </c>
      <c r="E159" s="4"/>
      <c r="F159" s="5">
        <v>41001</v>
      </c>
      <c r="G159" s="4">
        <v>5193219</v>
      </c>
      <c r="H159" s="9">
        <v>866</v>
      </c>
      <c r="I159" s="6">
        <v>44483.249606481484</v>
      </c>
      <c r="J159" s="6">
        <v>44391.540798611109</v>
      </c>
      <c r="K159" s="3" t="s">
        <v>184</v>
      </c>
      <c r="L159" s="3" t="s">
        <v>184</v>
      </c>
      <c r="M159" t="b">
        <v>1</v>
      </c>
      <c r="N159" s="3" t="s">
        <v>63</v>
      </c>
      <c r="O159" s="3" t="s">
        <v>170</v>
      </c>
      <c r="P159" s="3" t="s">
        <v>1347</v>
      </c>
    </row>
    <row r="160" spans="1:16" x14ac:dyDescent="0.2">
      <c r="A160" s="3" t="s">
        <v>1777</v>
      </c>
      <c r="B160" s="3" t="s">
        <v>206</v>
      </c>
      <c r="C160" s="3" t="s">
        <v>1778</v>
      </c>
      <c r="D160" s="3" t="s">
        <v>182</v>
      </c>
      <c r="E160" s="4"/>
      <c r="F160" s="5">
        <v>42430</v>
      </c>
      <c r="G160" s="4">
        <v>8092842281</v>
      </c>
      <c r="H160" s="9">
        <v>867</v>
      </c>
      <c r="I160" s="6">
        <v>44483.249606481484</v>
      </c>
      <c r="J160" s="6">
        <v>44391.540810185186</v>
      </c>
      <c r="K160" s="3" t="s">
        <v>184</v>
      </c>
      <c r="L160" s="3" t="s">
        <v>184</v>
      </c>
      <c r="M160" t="b">
        <v>1</v>
      </c>
      <c r="N160" s="3" t="s">
        <v>32</v>
      </c>
      <c r="O160" s="3" t="s">
        <v>170</v>
      </c>
      <c r="P160" s="3" t="s">
        <v>1347</v>
      </c>
    </row>
    <row r="161" spans="1:16" x14ac:dyDescent="0.2">
      <c r="A161" s="3" t="s">
        <v>1779</v>
      </c>
      <c r="B161" s="3" t="s">
        <v>1780</v>
      </c>
      <c r="C161" s="3" t="s">
        <v>1781</v>
      </c>
      <c r="D161" s="3" t="s">
        <v>182</v>
      </c>
      <c r="E161" s="4"/>
      <c r="F161" s="5">
        <v>41426</v>
      </c>
      <c r="G161" s="4">
        <v>2539572</v>
      </c>
      <c r="H161" s="9">
        <v>868</v>
      </c>
      <c r="I161" s="6">
        <v>44483.249606481484</v>
      </c>
      <c r="J161" s="6">
        <v>44391.540821759256</v>
      </c>
      <c r="K161" s="3" t="s">
        <v>184</v>
      </c>
      <c r="L161" s="3" t="s">
        <v>184</v>
      </c>
      <c r="M161" t="b">
        <v>1</v>
      </c>
      <c r="N161" s="3" t="s">
        <v>63</v>
      </c>
      <c r="O161" s="3" t="s">
        <v>170</v>
      </c>
      <c r="P161" s="3" t="s">
        <v>1347</v>
      </c>
    </row>
    <row r="162" spans="1:16" x14ac:dyDescent="0.2">
      <c r="A162" s="3" t="s">
        <v>1782</v>
      </c>
      <c r="B162" s="3" t="s">
        <v>1783</v>
      </c>
      <c r="C162" s="3" t="s">
        <v>1784</v>
      </c>
      <c r="D162" s="3" t="s">
        <v>393</v>
      </c>
      <c r="E162" s="4"/>
      <c r="F162" s="5">
        <v>44347</v>
      </c>
      <c r="G162" s="4">
        <v>8297159785</v>
      </c>
      <c r="H162" s="9">
        <v>869</v>
      </c>
      <c r="I162" s="6">
        <v>44483.307812500003</v>
      </c>
      <c r="J162" s="6">
        <v>44391.540833333333</v>
      </c>
      <c r="K162" s="3" t="s">
        <v>184</v>
      </c>
      <c r="L162" s="3" t="s">
        <v>184</v>
      </c>
      <c r="M162" t="b">
        <v>1</v>
      </c>
      <c r="N162" s="3" t="s">
        <v>74</v>
      </c>
      <c r="O162" s="3" t="s">
        <v>170</v>
      </c>
      <c r="P162" s="3" t="s">
        <v>1347</v>
      </c>
    </row>
    <row r="163" spans="1:16" x14ac:dyDescent="0.2">
      <c r="A163" s="3" t="s">
        <v>1785</v>
      </c>
      <c r="B163" s="3" t="s">
        <v>1345</v>
      </c>
      <c r="C163" s="3" t="s">
        <v>1786</v>
      </c>
      <c r="D163" s="3" t="s">
        <v>182</v>
      </c>
      <c r="E163" s="4"/>
      <c r="F163" s="5">
        <v>42491</v>
      </c>
      <c r="G163" s="4">
        <v>5242618</v>
      </c>
      <c r="H163" s="9">
        <v>870</v>
      </c>
      <c r="I163" s="6">
        <v>44483.249618055554</v>
      </c>
      <c r="J163" s="6">
        <v>44391.540844907409</v>
      </c>
      <c r="K163" s="3" t="s">
        <v>184</v>
      </c>
      <c r="L163" s="3" t="s">
        <v>184</v>
      </c>
      <c r="M163" t="b">
        <v>1</v>
      </c>
      <c r="N163" s="3" t="s">
        <v>104</v>
      </c>
      <c r="O163" s="3" t="s">
        <v>170</v>
      </c>
      <c r="P163" s="3" t="s">
        <v>1347</v>
      </c>
    </row>
    <row r="164" spans="1:16" x14ac:dyDescent="0.2">
      <c r="A164" s="3" t="s">
        <v>1787</v>
      </c>
      <c r="B164" s="3" t="s">
        <v>1788</v>
      </c>
      <c r="C164" s="3" t="s">
        <v>1789</v>
      </c>
      <c r="D164" s="3" t="s">
        <v>182</v>
      </c>
      <c r="E164" s="4"/>
      <c r="F164" s="5">
        <v>39930</v>
      </c>
      <c r="G164" s="4">
        <v>809507484</v>
      </c>
      <c r="H164" s="9">
        <v>871</v>
      </c>
      <c r="I164" s="6">
        <v>44483.249618055554</v>
      </c>
      <c r="J164" s="6">
        <v>44391.540856481479</v>
      </c>
      <c r="K164" s="3" t="s">
        <v>184</v>
      </c>
      <c r="L164" s="3" t="s">
        <v>184</v>
      </c>
      <c r="M164" t="b">
        <v>1</v>
      </c>
      <c r="N164" s="3" t="s">
        <v>91</v>
      </c>
      <c r="O164" s="3" t="s">
        <v>170</v>
      </c>
      <c r="P164" s="3" t="s">
        <v>1347</v>
      </c>
    </row>
    <row r="165" spans="1:16" x14ac:dyDescent="0.2">
      <c r="A165" s="3" t="s">
        <v>1790</v>
      </c>
      <c r="B165" s="3" t="s">
        <v>1791</v>
      </c>
      <c r="C165" s="3" t="s">
        <v>1792</v>
      </c>
      <c r="D165" s="3" t="s">
        <v>760</v>
      </c>
      <c r="E165" s="4">
        <v>18715</v>
      </c>
      <c r="F165" s="5">
        <v>43339</v>
      </c>
      <c r="G165" s="4">
        <v>7367121</v>
      </c>
      <c r="H165" s="9">
        <v>872</v>
      </c>
      <c r="I165" s="6">
        <v>44483.249618055554</v>
      </c>
      <c r="J165" s="6">
        <v>44391.540868055556</v>
      </c>
      <c r="K165" s="3" t="s">
        <v>184</v>
      </c>
      <c r="L165" s="3" t="s">
        <v>184</v>
      </c>
      <c r="M165" t="b">
        <v>1</v>
      </c>
      <c r="N165" s="3" t="s">
        <v>91</v>
      </c>
      <c r="O165" s="3" t="s">
        <v>170</v>
      </c>
      <c r="P165" s="3" t="s">
        <v>1347</v>
      </c>
    </row>
    <row r="166" spans="1:16" x14ac:dyDescent="0.2">
      <c r="A166" s="3" t="s">
        <v>1793</v>
      </c>
      <c r="B166" s="3" t="s">
        <v>1794</v>
      </c>
      <c r="C166" s="3" t="s">
        <v>1795</v>
      </c>
      <c r="D166" s="3" t="s">
        <v>393</v>
      </c>
      <c r="E166" s="4">
        <v>36616</v>
      </c>
      <c r="F166" s="5">
        <v>44266</v>
      </c>
      <c r="G166" s="4">
        <v>8098143068</v>
      </c>
      <c r="H166" s="9">
        <v>873</v>
      </c>
      <c r="I166" s="6">
        <v>44483.249618055554</v>
      </c>
      <c r="J166" s="6">
        <v>44391.540879629632</v>
      </c>
      <c r="K166" s="3" t="s">
        <v>184</v>
      </c>
      <c r="L166" s="3" t="s">
        <v>184</v>
      </c>
      <c r="M166" t="b">
        <v>1</v>
      </c>
      <c r="N166" s="3" t="s">
        <v>93</v>
      </c>
      <c r="O166" s="3" t="s">
        <v>170</v>
      </c>
      <c r="P166" s="3" t="s">
        <v>1347</v>
      </c>
    </row>
    <row r="167" spans="1:16" x14ac:dyDescent="0.2">
      <c r="A167" s="3" t="s">
        <v>1796</v>
      </c>
      <c r="B167" s="3" t="s">
        <v>1797</v>
      </c>
      <c r="C167" s="3" t="s">
        <v>1798</v>
      </c>
      <c r="D167" s="3" t="s">
        <v>393</v>
      </c>
      <c r="E167" s="4">
        <v>20717</v>
      </c>
      <c r="F167" s="5">
        <v>43822</v>
      </c>
      <c r="G167" s="4">
        <v>1766781</v>
      </c>
      <c r="H167" s="9">
        <v>874</v>
      </c>
      <c r="I167" s="6">
        <v>44483.249618055554</v>
      </c>
      <c r="J167" s="6">
        <v>44391.540891203702</v>
      </c>
      <c r="K167" s="3" t="s">
        <v>184</v>
      </c>
      <c r="L167" s="3" t="s">
        <v>184</v>
      </c>
      <c r="M167" t="b">
        <v>1</v>
      </c>
      <c r="N167" s="3" t="s">
        <v>94</v>
      </c>
      <c r="O167" s="3" t="s">
        <v>170</v>
      </c>
      <c r="P167" s="3" t="s">
        <v>1347</v>
      </c>
    </row>
    <row r="168" spans="1:16" x14ac:dyDescent="0.2">
      <c r="A168" s="3" t="s">
        <v>1799</v>
      </c>
      <c r="B168" s="3" t="s">
        <v>1800</v>
      </c>
      <c r="C168" s="3" t="s">
        <v>1801</v>
      </c>
      <c r="D168" s="3" t="s">
        <v>182</v>
      </c>
      <c r="E168" s="4"/>
      <c r="F168" s="5">
        <v>43136</v>
      </c>
      <c r="G168" s="4">
        <v>8678457</v>
      </c>
      <c r="H168" s="9">
        <v>875</v>
      </c>
      <c r="I168" s="6">
        <v>44483.249618055554</v>
      </c>
      <c r="J168" s="6">
        <v>44391.540902777779</v>
      </c>
      <c r="K168" s="3" t="s">
        <v>184</v>
      </c>
      <c r="L168" s="3" t="s">
        <v>184</v>
      </c>
      <c r="M168" t="b">
        <v>1</v>
      </c>
      <c r="N168" s="3" t="s">
        <v>48</v>
      </c>
      <c r="O168" s="3" t="s">
        <v>170</v>
      </c>
      <c r="P168" s="3" t="s">
        <v>1347</v>
      </c>
    </row>
    <row r="169" spans="1:16" x14ac:dyDescent="0.2">
      <c r="A169" s="3" t="s">
        <v>1802</v>
      </c>
      <c r="B169" s="3" t="s">
        <v>1803</v>
      </c>
      <c r="C169" s="3" t="s">
        <v>1804</v>
      </c>
      <c r="D169" s="3" t="s">
        <v>182</v>
      </c>
      <c r="E169" s="4"/>
      <c r="F169" s="5">
        <v>43801</v>
      </c>
      <c r="G169" s="4">
        <v>8755226</v>
      </c>
      <c r="H169" s="9">
        <v>876</v>
      </c>
      <c r="I169" s="6">
        <v>44483.249618055554</v>
      </c>
      <c r="J169" s="6">
        <v>44391.540914351855</v>
      </c>
      <c r="K169" s="3" t="s">
        <v>184</v>
      </c>
      <c r="L169" s="3" t="s">
        <v>184</v>
      </c>
      <c r="M169" t="b">
        <v>1</v>
      </c>
      <c r="N169" s="3" t="s">
        <v>56</v>
      </c>
      <c r="O169" s="3" t="s">
        <v>170</v>
      </c>
      <c r="P169" s="3" t="s">
        <v>1347</v>
      </c>
    </row>
    <row r="170" spans="1:16" x14ac:dyDescent="0.2">
      <c r="A170" s="3" t="s">
        <v>1805</v>
      </c>
      <c r="B170" s="3" t="s">
        <v>1806</v>
      </c>
      <c r="C170" s="3" t="s">
        <v>1807</v>
      </c>
      <c r="D170" s="3" t="s">
        <v>393</v>
      </c>
      <c r="E170" s="4">
        <v>67011</v>
      </c>
      <c r="F170" s="5">
        <v>40910</v>
      </c>
      <c r="G170" s="4">
        <v>7267587</v>
      </c>
      <c r="H170" s="9">
        <v>877</v>
      </c>
      <c r="I170" s="6">
        <v>44483.249618055554</v>
      </c>
      <c r="J170" s="6">
        <v>44391.540925925925</v>
      </c>
      <c r="K170" s="3" t="s">
        <v>184</v>
      </c>
      <c r="L170" s="3" t="s">
        <v>184</v>
      </c>
      <c r="M170" t="b">
        <v>1</v>
      </c>
      <c r="N170" s="3" t="s">
        <v>106</v>
      </c>
      <c r="O170" s="3" t="s">
        <v>170</v>
      </c>
      <c r="P170" s="3" t="s">
        <v>1347</v>
      </c>
    </row>
    <row r="171" spans="1:16" x14ac:dyDescent="0.2">
      <c r="A171" s="3" t="s">
        <v>1808</v>
      </c>
      <c r="B171" s="3" t="s">
        <v>1809</v>
      </c>
      <c r="C171" s="3" t="s">
        <v>1810</v>
      </c>
      <c r="D171" s="3" t="s">
        <v>182</v>
      </c>
      <c r="E171" s="4">
        <v>20119</v>
      </c>
      <c r="F171" s="5">
        <v>43568</v>
      </c>
      <c r="G171" s="4">
        <v>9169459</v>
      </c>
      <c r="H171" s="9">
        <v>878</v>
      </c>
      <c r="I171" s="6">
        <v>44483.249618055554</v>
      </c>
      <c r="J171" s="6">
        <v>44391.540937500002</v>
      </c>
      <c r="K171" s="3" t="s">
        <v>184</v>
      </c>
      <c r="L171" s="3" t="s">
        <v>184</v>
      </c>
      <c r="M171" t="b">
        <v>1</v>
      </c>
      <c r="N171" s="3" t="s">
        <v>58</v>
      </c>
      <c r="O171" s="3" t="s">
        <v>170</v>
      </c>
      <c r="P171" s="3" t="s">
        <v>1347</v>
      </c>
    </row>
    <row r="172" spans="1:16" x14ac:dyDescent="0.2">
      <c r="A172" s="3" t="s">
        <v>1811</v>
      </c>
      <c r="B172" s="3" t="s">
        <v>1812</v>
      </c>
      <c r="C172" s="3" t="s">
        <v>1813</v>
      </c>
      <c r="D172" s="3" t="s">
        <v>393</v>
      </c>
      <c r="E172" s="4"/>
      <c r="F172" s="5">
        <v>44320</v>
      </c>
      <c r="G172" s="4">
        <v>8297313640</v>
      </c>
      <c r="H172" s="9">
        <v>879</v>
      </c>
      <c r="I172" s="6">
        <v>44483.249618055554</v>
      </c>
      <c r="J172" s="6">
        <v>44391.540949074071</v>
      </c>
      <c r="K172" s="3" t="s">
        <v>184</v>
      </c>
      <c r="L172" s="3" t="s">
        <v>184</v>
      </c>
      <c r="M172" t="b">
        <v>1</v>
      </c>
      <c r="N172" s="3" t="s">
        <v>85</v>
      </c>
      <c r="O172" s="3" t="s">
        <v>170</v>
      </c>
      <c r="P172" s="3" t="s">
        <v>1347</v>
      </c>
    </row>
    <row r="173" spans="1:16" x14ac:dyDescent="0.2">
      <c r="A173" s="3" t="s">
        <v>1814</v>
      </c>
      <c r="B173" s="3" t="s">
        <v>1815</v>
      </c>
      <c r="C173" s="3" t="s">
        <v>1816</v>
      </c>
      <c r="D173" s="3" t="s">
        <v>393</v>
      </c>
      <c r="E173" s="4">
        <v>28216</v>
      </c>
      <c r="F173" s="5">
        <v>44025</v>
      </c>
      <c r="G173" s="4">
        <v>5757342</v>
      </c>
      <c r="H173" s="9">
        <v>880</v>
      </c>
      <c r="I173" s="6">
        <v>44483.249618055554</v>
      </c>
      <c r="J173" s="6">
        <v>44391.540960648148</v>
      </c>
      <c r="K173" s="3" t="s">
        <v>184</v>
      </c>
      <c r="L173" s="3" t="s">
        <v>184</v>
      </c>
      <c r="M173" t="b">
        <v>1</v>
      </c>
      <c r="N173" s="3" t="s">
        <v>60</v>
      </c>
      <c r="O173" s="3" t="s">
        <v>170</v>
      </c>
      <c r="P173" s="3" t="s">
        <v>1347</v>
      </c>
    </row>
    <row r="174" spans="1:16" x14ac:dyDescent="0.2">
      <c r="A174" s="3" t="s">
        <v>1817</v>
      </c>
      <c r="B174" s="3" t="s">
        <v>1818</v>
      </c>
      <c r="C174" s="3" t="s">
        <v>1819</v>
      </c>
      <c r="D174" s="3" t="s">
        <v>393</v>
      </c>
      <c r="E174" s="4">
        <v>2314</v>
      </c>
      <c r="F174" s="5">
        <v>44214</v>
      </c>
      <c r="G174" s="4">
        <v>8297978108</v>
      </c>
      <c r="H174" s="9">
        <v>881</v>
      </c>
      <c r="I174" s="6">
        <v>44483.249618055554</v>
      </c>
      <c r="J174" s="6">
        <v>44391.540983796294</v>
      </c>
      <c r="K174" s="3" t="s">
        <v>184</v>
      </c>
      <c r="L174" s="3" t="s">
        <v>184</v>
      </c>
      <c r="M174" t="b">
        <v>1</v>
      </c>
      <c r="N174" s="3" t="s">
        <v>82</v>
      </c>
      <c r="O174" s="3" t="s">
        <v>170</v>
      </c>
      <c r="P174" s="3" t="s">
        <v>1347</v>
      </c>
    </row>
    <row r="175" spans="1:16" x14ac:dyDescent="0.2">
      <c r="A175" s="3" t="s">
        <v>1820</v>
      </c>
      <c r="B175" s="3" t="s">
        <v>484</v>
      </c>
      <c r="C175" s="3" t="s">
        <v>1821</v>
      </c>
      <c r="D175" s="3" t="s">
        <v>393</v>
      </c>
      <c r="E175" s="4">
        <v>9920</v>
      </c>
      <c r="F175" s="5">
        <v>44116</v>
      </c>
      <c r="G175" s="4">
        <v>8497204555</v>
      </c>
      <c r="H175" s="9">
        <v>882</v>
      </c>
      <c r="I175" s="6">
        <v>44483.249618055554</v>
      </c>
      <c r="J175" s="6">
        <v>44391.540995370371</v>
      </c>
      <c r="K175" s="3" t="s">
        <v>184</v>
      </c>
      <c r="L175" s="3" t="s">
        <v>184</v>
      </c>
      <c r="M175" t="b">
        <v>1</v>
      </c>
      <c r="N175" s="3" t="s">
        <v>60</v>
      </c>
      <c r="O175" s="3" t="s">
        <v>170</v>
      </c>
      <c r="P175" s="3" t="s">
        <v>1347</v>
      </c>
    </row>
    <row r="176" spans="1:16" x14ac:dyDescent="0.2">
      <c r="A176" s="3" t="s">
        <v>1822</v>
      </c>
      <c r="B176" s="3" t="s">
        <v>1823</v>
      </c>
      <c r="C176" s="3" t="s">
        <v>1824</v>
      </c>
      <c r="D176" s="3" t="s">
        <v>393</v>
      </c>
      <c r="E176" s="4">
        <v>20717</v>
      </c>
      <c r="F176" s="5">
        <v>44029</v>
      </c>
      <c r="G176" s="4">
        <v>8297662630</v>
      </c>
      <c r="H176" s="9">
        <v>883</v>
      </c>
      <c r="I176" s="6">
        <v>44483.249618055554</v>
      </c>
      <c r="J176" s="6">
        <v>44391.541006944448</v>
      </c>
      <c r="K176" s="3" t="s">
        <v>184</v>
      </c>
      <c r="L176" s="3" t="s">
        <v>184</v>
      </c>
      <c r="M176" t="b">
        <v>1</v>
      </c>
      <c r="N176" s="3"/>
      <c r="O176" s="3" t="s">
        <v>170</v>
      </c>
      <c r="P176" s="3" t="s">
        <v>1347</v>
      </c>
    </row>
    <row r="177" spans="1:16" x14ac:dyDescent="0.2">
      <c r="A177" s="3" t="s">
        <v>771</v>
      </c>
      <c r="B177" s="3" t="s">
        <v>1825</v>
      </c>
      <c r="C177" s="3" t="s">
        <v>1826</v>
      </c>
      <c r="D177" s="3" t="s">
        <v>182</v>
      </c>
      <c r="E177" s="4"/>
      <c r="F177" s="5">
        <v>44363</v>
      </c>
      <c r="G177" s="4">
        <v>8094073791</v>
      </c>
      <c r="H177" s="9">
        <v>884</v>
      </c>
      <c r="I177" s="6">
        <v>44483.309131944443</v>
      </c>
      <c r="J177" s="6">
        <v>44391.541018518517</v>
      </c>
      <c r="K177" s="3" t="s">
        <v>184</v>
      </c>
      <c r="L177" s="3" t="s">
        <v>184</v>
      </c>
      <c r="M177" t="b">
        <v>1</v>
      </c>
      <c r="N177" s="3" t="s">
        <v>61</v>
      </c>
      <c r="O177" s="3" t="s">
        <v>170</v>
      </c>
      <c r="P177" s="3" t="s">
        <v>1347</v>
      </c>
    </row>
    <row r="178" spans="1:16" x14ac:dyDescent="0.2">
      <c r="A178" s="3" t="s">
        <v>247</v>
      </c>
      <c r="B178" s="3" t="s">
        <v>248</v>
      </c>
      <c r="C178" s="3" t="s">
        <v>249</v>
      </c>
      <c r="D178" s="3" t="s">
        <v>182</v>
      </c>
      <c r="E178" s="4"/>
      <c r="F178" s="5">
        <v>44348</v>
      </c>
      <c r="G178" s="4">
        <v>8097156276</v>
      </c>
      <c r="H178" s="9">
        <v>885</v>
      </c>
      <c r="I178" s="6">
        <v>44483.249618055554</v>
      </c>
      <c r="J178" s="6">
        <v>44391.541041666664</v>
      </c>
      <c r="K178" s="3" t="s">
        <v>184</v>
      </c>
      <c r="L178" s="3" t="s">
        <v>184</v>
      </c>
      <c r="M178" t="b">
        <v>1</v>
      </c>
      <c r="N178" s="3" t="s">
        <v>121</v>
      </c>
      <c r="O178" s="3" t="s">
        <v>170</v>
      </c>
      <c r="P178" s="3" t="s">
        <v>1347</v>
      </c>
    </row>
    <row r="179" spans="1:16" x14ac:dyDescent="0.2">
      <c r="A179" s="3" t="s">
        <v>1827</v>
      </c>
      <c r="B179" s="3" t="s">
        <v>1828</v>
      </c>
      <c r="C179" s="3" t="s">
        <v>1829</v>
      </c>
      <c r="D179" s="3" t="s">
        <v>182</v>
      </c>
      <c r="E179" s="4"/>
      <c r="F179" s="5">
        <v>44319</v>
      </c>
      <c r="G179" s="4">
        <v>8298077037</v>
      </c>
      <c r="H179" s="9">
        <v>886</v>
      </c>
      <c r="I179" s="6">
        <v>44483.249618055554</v>
      </c>
      <c r="J179" s="6">
        <v>44391.541041666664</v>
      </c>
      <c r="K179" s="3" t="s">
        <v>184</v>
      </c>
      <c r="L179" s="3" t="s">
        <v>184</v>
      </c>
      <c r="M179" t="b">
        <v>1</v>
      </c>
      <c r="N179" s="3" t="s">
        <v>60</v>
      </c>
      <c r="O179" s="3" t="s">
        <v>170</v>
      </c>
      <c r="P179" s="3" t="s">
        <v>1347</v>
      </c>
    </row>
    <row r="180" spans="1:16" x14ac:dyDescent="0.2">
      <c r="A180" s="3" t="s">
        <v>1830</v>
      </c>
      <c r="B180" s="3" t="s">
        <v>1831</v>
      </c>
      <c r="C180" s="3" t="s">
        <v>1832</v>
      </c>
      <c r="D180" s="3" t="s">
        <v>393</v>
      </c>
      <c r="E180" s="4">
        <v>16793</v>
      </c>
      <c r="F180" s="5">
        <v>43358</v>
      </c>
      <c r="G180" s="4">
        <v>2372827</v>
      </c>
      <c r="H180" s="9">
        <v>887</v>
      </c>
      <c r="I180" s="6">
        <v>44483.24962962963</v>
      </c>
      <c r="J180" s="6">
        <v>44391.54105324074</v>
      </c>
      <c r="K180" s="3" t="s">
        <v>184</v>
      </c>
      <c r="L180" s="3" t="s">
        <v>184</v>
      </c>
      <c r="M180" t="b">
        <v>1</v>
      </c>
      <c r="N180" s="3" t="s">
        <v>98</v>
      </c>
      <c r="O180" s="3" t="s">
        <v>170</v>
      </c>
      <c r="P180" s="3" t="s">
        <v>1347</v>
      </c>
    </row>
    <row r="181" spans="1:16" x14ac:dyDescent="0.2">
      <c r="A181" s="3" t="s">
        <v>1833</v>
      </c>
      <c r="B181" s="3" t="s">
        <v>1834</v>
      </c>
      <c r="C181" s="3" t="s">
        <v>1835</v>
      </c>
      <c r="D181" s="3" t="s">
        <v>393</v>
      </c>
      <c r="E181" s="4">
        <v>23120</v>
      </c>
      <c r="F181" s="5">
        <v>44299</v>
      </c>
      <c r="G181" s="4">
        <v>8298360813</v>
      </c>
      <c r="H181" s="9">
        <v>888</v>
      </c>
      <c r="I181" s="6">
        <v>44483.24962962963</v>
      </c>
      <c r="J181" s="6">
        <v>44391.541064814817</v>
      </c>
      <c r="K181" s="3" t="s">
        <v>184</v>
      </c>
      <c r="L181" s="3" t="s">
        <v>184</v>
      </c>
      <c r="M181" t="b">
        <v>1</v>
      </c>
      <c r="N181" s="3" t="s">
        <v>78</v>
      </c>
      <c r="O181" s="3" t="s">
        <v>170</v>
      </c>
      <c r="P181" s="3" t="s">
        <v>1347</v>
      </c>
    </row>
    <row r="182" spans="1:16" x14ac:dyDescent="0.2">
      <c r="A182" s="3" t="s">
        <v>1836</v>
      </c>
      <c r="B182" s="3" t="s">
        <v>1837</v>
      </c>
      <c r="C182" s="3" t="s">
        <v>1838</v>
      </c>
      <c r="D182" s="3" t="s">
        <v>182</v>
      </c>
      <c r="E182" s="4"/>
      <c r="F182" s="5">
        <v>43319</v>
      </c>
      <c r="G182" s="4">
        <v>4617693</v>
      </c>
      <c r="H182" s="9">
        <v>889</v>
      </c>
      <c r="I182" s="6">
        <v>44483.24962962963</v>
      </c>
      <c r="J182" s="6">
        <v>44391.541076388887</v>
      </c>
      <c r="K182" s="3" t="s">
        <v>184</v>
      </c>
      <c r="L182" s="3" t="s">
        <v>184</v>
      </c>
      <c r="M182" t="b">
        <v>1</v>
      </c>
      <c r="N182" s="3" t="s">
        <v>62</v>
      </c>
      <c r="O182" s="3" t="s">
        <v>170</v>
      </c>
      <c r="P182" s="3" t="s">
        <v>1347</v>
      </c>
    </row>
    <row r="183" spans="1:16" x14ac:dyDescent="0.2">
      <c r="A183" s="3" t="s">
        <v>1839</v>
      </c>
      <c r="B183" s="3" t="s">
        <v>1840</v>
      </c>
      <c r="C183" s="3" t="s">
        <v>1841</v>
      </c>
      <c r="D183" s="3" t="s">
        <v>182</v>
      </c>
      <c r="E183" s="4"/>
      <c r="F183" s="5">
        <v>43347</v>
      </c>
      <c r="G183" s="4">
        <v>1729473</v>
      </c>
      <c r="H183" s="9">
        <v>890</v>
      </c>
      <c r="I183" s="6">
        <v>44483.24962962963</v>
      </c>
      <c r="J183" s="6">
        <v>44391.541087962964</v>
      </c>
      <c r="K183" s="3" t="s">
        <v>184</v>
      </c>
      <c r="L183" s="3" t="s">
        <v>184</v>
      </c>
      <c r="M183" t="b">
        <v>1</v>
      </c>
      <c r="N183" s="3" t="s">
        <v>68</v>
      </c>
      <c r="O183" s="3" t="s">
        <v>170</v>
      </c>
      <c r="P183" s="3" t="s">
        <v>1347</v>
      </c>
    </row>
    <row r="184" spans="1:16" x14ac:dyDescent="0.2">
      <c r="A184" s="3" t="s">
        <v>1842</v>
      </c>
      <c r="B184" s="3" t="s">
        <v>1843</v>
      </c>
      <c r="C184" s="3" t="s">
        <v>1844</v>
      </c>
      <c r="D184" s="3" t="s">
        <v>393</v>
      </c>
      <c r="E184" s="4">
        <v>2119</v>
      </c>
      <c r="F184" s="5">
        <v>44036</v>
      </c>
      <c r="G184" s="4">
        <v>8299659416</v>
      </c>
      <c r="H184" s="9">
        <v>891</v>
      </c>
      <c r="I184" s="6">
        <v>44483.31009259259</v>
      </c>
      <c r="J184" s="6">
        <v>44391.54109953704</v>
      </c>
      <c r="K184" s="3" t="s">
        <v>184</v>
      </c>
      <c r="L184" s="3" t="s">
        <v>184</v>
      </c>
      <c r="M184" t="b">
        <v>1</v>
      </c>
      <c r="N184" s="3" t="s">
        <v>100</v>
      </c>
      <c r="O184" s="3" t="s">
        <v>170</v>
      </c>
      <c r="P184" s="3" t="s">
        <v>1347</v>
      </c>
    </row>
    <row r="185" spans="1:16" x14ac:dyDescent="0.2">
      <c r="A185" s="3" t="s">
        <v>1845</v>
      </c>
      <c r="B185" s="3" t="s">
        <v>1846</v>
      </c>
      <c r="C185" s="3" t="s">
        <v>1847</v>
      </c>
      <c r="D185" s="3" t="s">
        <v>393</v>
      </c>
      <c r="E185" s="4">
        <v>45619</v>
      </c>
      <c r="F185" s="5">
        <v>44105</v>
      </c>
      <c r="G185" s="4">
        <v>8093326865</v>
      </c>
      <c r="H185" s="9">
        <v>892</v>
      </c>
      <c r="I185" s="6">
        <v>44483.24962962963</v>
      </c>
      <c r="J185" s="6">
        <v>44391.54111111111</v>
      </c>
      <c r="K185" s="3" t="s">
        <v>184</v>
      </c>
      <c r="L185" s="3" t="s">
        <v>184</v>
      </c>
      <c r="M185" t="b">
        <v>1</v>
      </c>
      <c r="N185" s="3" t="s">
        <v>60</v>
      </c>
      <c r="O185" s="3" t="s">
        <v>170</v>
      </c>
      <c r="P185" s="3" t="s">
        <v>1347</v>
      </c>
    </row>
    <row r="186" spans="1:16" x14ac:dyDescent="0.2">
      <c r="A186" s="3" t="s">
        <v>1848</v>
      </c>
      <c r="B186" s="3" t="s">
        <v>1849</v>
      </c>
      <c r="C186" s="3" t="s">
        <v>1850</v>
      </c>
      <c r="D186" s="3" t="s">
        <v>393</v>
      </c>
      <c r="E186" s="4">
        <v>61304</v>
      </c>
      <c r="F186" s="5">
        <v>43283</v>
      </c>
      <c r="G186" s="4">
        <v>2878789</v>
      </c>
      <c r="H186" s="9">
        <v>893</v>
      </c>
      <c r="I186" s="6">
        <v>44483.24962962963</v>
      </c>
      <c r="J186" s="6">
        <v>44391.541122685187</v>
      </c>
      <c r="K186" s="3" t="s">
        <v>184</v>
      </c>
      <c r="L186" s="3" t="s">
        <v>184</v>
      </c>
      <c r="M186" t="b">
        <v>1</v>
      </c>
      <c r="N186" s="3" t="s">
        <v>56</v>
      </c>
      <c r="O186" s="3" t="s">
        <v>170</v>
      </c>
      <c r="P186" s="3" t="s">
        <v>1347</v>
      </c>
    </row>
    <row r="187" spans="1:16" x14ac:dyDescent="0.2">
      <c r="A187" s="3" t="s">
        <v>1851</v>
      </c>
      <c r="B187" s="3" t="s">
        <v>1852</v>
      </c>
      <c r="C187" s="3" t="s">
        <v>1853</v>
      </c>
      <c r="D187" s="3" t="s">
        <v>182</v>
      </c>
      <c r="E187" s="4"/>
      <c r="F187" s="5">
        <v>41379</v>
      </c>
      <c r="G187" s="4">
        <v>6735229</v>
      </c>
      <c r="H187" s="9">
        <v>894</v>
      </c>
      <c r="I187" s="6">
        <v>44483.24962962963</v>
      </c>
      <c r="J187" s="6">
        <v>44391.541134259256</v>
      </c>
      <c r="K187" s="3" t="s">
        <v>184</v>
      </c>
      <c r="L187" s="3" t="s">
        <v>184</v>
      </c>
      <c r="M187" t="b">
        <v>1</v>
      </c>
      <c r="N187" s="3" t="s">
        <v>68</v>
      </c>
      <c r="O187" s="3" t="s">
        <v>170</v>
      </c>
      <c r="P187" s="3" t="s">
        <v>1347</v>
      </c>
    </row>
    <row r="188" spans="1:16" x14ac:dyDescent="0.2">
      <c r="A188" s="3" t="s">
        <v>1854</v>
      </c>
      <c r="B188" s="3" t="s">
        <v>1855</v>
      </c>
      <c r="C188" s="3" t="s">
        <v>1856</v>
      </c>
      <c r="D188" s="3" t="s">
        <v>393</v>
      </c>
      <c r="E188" s="4"/>
      <c r="F188" s="5">
        <v>44331</v>
      </c>
      <c r="G188" s="4">
        <v>1234567891</v>
      </c>
      <c r="H188" s="9">
        <v>895</v>
      </c>
      <c r="I188" s="6">
        <v>44483.24962962963</v>
      </c>
      <c r="J188" s="6">
        <v>44415.338229166664</v>
      </c>
      <c r="K188" s="3" t="s">
        <v>184</v>
      </c>
      <c r="L188" s="3" t="s">
        <v>184</v>
      </c>
      <c r="M188" t="b">
        <v>1</v>
      </c>
      <c r="N188" s="3" t="s">
        <v>61</v>
      </c>
      <c r="O188" s="3" t="s">
        <v>170</v>
      </c>
      <c r="P188" s="3" t="s">
        <v>1347</v>
      </c>
    </row>
    <row r="189" spans="1:16" x14ac:dyDescent="0.2">
      <c r="A189" s="3" t="s">
        <v>928</v>
      </c>
      <c r="B189" s="3" t="s">
        <v>929</v>
      </c>
      <c r="C189" s="3" t="s">
        <v>930</v>
      </c>
      <c r="D189" s="3" t="s">
        <v>393</v>
      </c>
      <c r="E189" s="4"/>
      <c r="F189" s="5">
        <v>44422</v>
      </c>
      <c r="G189" s="4">
        <v>8293803814</v>
      </c>
      <c r="H189" s="9">
        <v>897</v>
      </c>
      <c r="I189" s="6">
        <v>44483.24962962963</v>
      </c>
      <c r="J189" s="6">
        <v>44427.440081018518</v>
      </c>
      <c r="K189" s="3" t="s">
        <v>184</v>
      </c>
      <c r="L189" s="3" t="s">
        <v>184</v>
      </c>
      <c r="M189" t="b">
        <v>1</v>
      </c>
      <c r="N189" s="3"/>
      <c r="O189" s="3" t="s">
        <v>170</v>
      </c>
      <c r="P189" s="3" t="s">
        <v>1347</v>
      </c>
    </row>
    <row r="190" spans="1:16" x14ac:dyDescent="0.2">
      <c r="A190" s="3" t="s">
        <v>899</v>
      </c>
      <c r="B190" s="3" t="s">
        <v>1857</v>
      </c>
      <c r="C190" s="3" t="s">
        <v>901</v>
      </c>
      <c r="D190" s="3" t="s">
        <v>393</v>
      </c>
      <c r="E190" s="4"/>
      <c r="F190" s="5">
        <v>44410</v>
      </c>
      <c r="G190" s="4">
        <v>8297171763</v>
      </c>
      <c r="H190" s="9">
        <v>898</v>
      </c>
      <c r="I190" s="6">
        <v>44483.312048611115</v>
      </c>
      <c r="J190" s="6">
        <v>44428.327418981484</v>
      </c>
      <c r="K190" s="3" t="s">
        <v>184</v>
      </c>
      <c r="L190" s="3" t="s">
        <v>184</v>
      </c>
      <c r="M190" t="b">
        <v>1</v>
      </c>
      <c r="N190" s="3" t="s">
        <v>88</v>
      </c>
      <c r="O190" s="3" t="s">
        <v>170</v>
      </c>
      <c r="P190" s="3" t="s">
        <v>1347</v>
      </c>
    </row>
    <row r="191" spans="1:16" x14ac:dyDescent="0.2">
      <c r="A191" s="3" t="s">
        <v>1858</v>
      </c>
      <c r="B191" s="3" t="s">
        <v>1425</v>
      </c>
      <c r="C191" s="3" t="s">
        <v>1859</v>
      </c>
      <c r="D191" s="3" t="s">
        <v>393</v>
      </c>
      <c r="E191" s="4"/>
      <c r="F191" s="5">
        <v>44410</v>
      </c>
      <c r="G191" s="4">
        <v>8098662153</v>
      </c>
      <c r="H191" s="9">
        <v>899</v>
      </c>
      <c r="I191" s="6">
        <v>44483.313472222224</v>
      </c>
      <c r="J191" s="6">
        <v>44431.396111111113</v>
      </c>
      <c r="K191" s="3" t="s">
        <v>184</v>
      </c>
      <c r="L191" s="3" t="s">
        <v>184</v>
      </c>
      <c r="M191" t="b">
        <v>1</v>
      </c>
      <c r="N191" s="3" t="s">
        <v>52</v>
      </c>
      <c r="O191" s="3" t="s">
        <v>170</v>
      </c>
      <c r="P191" s="3" t="s">
        <v>1347</v>
      </c>
    </row>
    <row r="192" spans="1:16" x14ac:dyDescent="0.2">
      <c r="A192" s="3" t="s">
        <v>1053</v>
      </c>
      <c r="B192" s="3" t="s">
        <v>1860</v>
      </c>
      <c r="C192" s="3" t="s">
        <v>1055</v>
      </c>
      <c r="D192" s="3" t="s">
        <v>393</v>
      </c>
      <c r="E192" s="4"/>
      <c r="F192" s="5">
        <v>44424</v>
      </c>
      <c r="G192" s="4">
        <v>8297026022</v>
      </c>
      <c r="H192" s="9">
        <v>900</v>
      </c>
      <c r="I192" s="6">
        <v>44483.314988425926</v>
      </c>
      <c r="J192" s="6">
        <v>44431.397916666669</v>
      </c>
      <c r="K192" s="3" t="s">
        <v>184</v>
      </c>
      <c r="L192" s="3" t="s">
        <v>184</v>
      </c>
      <c r="M192" t="b">
        <v>1</v>
      </c>
      <c r="N192" s="3" t="s">
        <v>53</v>
      </c>
      <c r="O192" s="3" t="s">
        <v>170</v>
      </c>
      <c r="P192" s="3" t="s">
        <v>1347</v>
      </c>
    </row>
    <row r="193" spans="1:16" x14ac:dyDescent="0.2">
      <c r="A193" s="3" t="s">
        <v>999</v>
      </c>
      <c r="B193" s="3" t="s">
        <v>1000</v>
      </c>
      <c r="C193" s="3" t="s">
        <v>1861</v>
      </c>
      <c r="D193" s="3" t="s">
        <v>182</v>
      </c>
      <c r="E193" s="4"/>
      <c r="F193" s="5">
        <v>44408</v>
      </c>
      <c r="G193" s="4">
        <v>8299064529</v>
      </c>
      <c r="H193" s="9">
        <v>901</v>
      </c>
      <c r="I193" s="6">
        <v>44483.249641203707</v>
      </c>
      <c r="J193" s="6">
        <v>44431.442465277774</v>
      </c>
      <c r="K193" s="3" t="s">
        <v>184</v>
      </c>
      <c r="L193" s="3" t="s">
        <v>184</v>
      </c>
      <c r="M193" t="b">
        <v>1</v>
      </c>
      <c r="N193" s="3" t="s">
        <v>94</v>
      </c>
      <c r="O193" s="3" t="s">
        <v>170</v>
      </c>
      <c r="P193" s="3" t="s">
        <v>1347</v>
      </c>
    </row>
    <row r="194" spans="1:16" x14ac:dyDescent="0.2">
      <c r="A194" s="3" t="s">
        <v>598</v>
      </c>
      <c r="B194" s="3" t="s">
        <v>173</v>
      </c>
      <c r="C194" s="3" t="s">
        <v>1862</v>
      </c>
      <c r="D194" s="3" t="s">
        <v>182</v>
      </c>
      <c r="E194" s="4"/>
      <c r="F194" s="5">
        <v>44420</v>
      </c>
      <c r="G194" s="4">
        <v>8096609568</v>
      </c>
      <c r="H194" s="9">
        <v>902</v>
      </c>
      <c r="I194" s="6">
        <v>44483.315844907411</v>
      </c>
      <c r="J194" s="6">
        <v>44435.40347222222</v>
      </c>
      <c r="K194" s="3" t="s">
        <v>184</v>
      </c>
      <c r="L194" s="3" t="s">
        <v>184</v>
      </c>
      <c r="M194" t="b">
        <v>1</v>
      </c>
      <c r="N194" s="3" t="s">
        <v>62</v>
      </c>
      <c r="O194" s="3" t="s">
        <v>170</v>
      </c>
      <c r="P194" s="3" t="s">
        <v>1347</v>
      </c>
    </row>
    <row r="195" spans="1:16" x14ac:dyDescent="0.2">
      <c r="A195" s="3" t="s">
        <v>969</v>
      </c>
      <c r="B195" s="3" t="s">
        <v>970</v>
      </c>
      <c r="C195" s="3" t="s">
        <v>2328</v>
      </c>
      <c r="D195" s="3" t="s">
        <v>393</v>
      </c>
      <c r="E195" s="4"/>
      <c r="F195" s="5">
        <v>44423</v>
      </c>
      <c r="G195" s="4">
        <v>8094473246</v>
      </c>
      <c r="H195" s="9">
        <v>903</v>
      </c>
      <c r="I195" s="6">
        <v>44483.249641203707</v>
      </c>
      <c r="J195" s="6">
        <v>44449.389768518522</v>
      </c>
      <c r="K195" s="3" t="s">
        <v>184</v>
      </c>
      <c r="L195" s="3" t="s">
        <v>184</v>
      </c>
      <c r="M195" t="b">
        <v>1</v>
      </c>
      <c r="N195" s="3" t="s">
        <v>69</v>
      </c>
      <c r="O195" s="3" t="s">
        <v>170</v>
      </c>
      <c r="P195" s="3" t="s">
        <v>1347</v>
      </c>
    </row>
    <row r="196" spans="1:16" x14ac:dyDescent="0.2">
      <c r="A196" s="3" t="s">
        <v>879</v>
      </c>
      <c r="B196" s="3" t="s">
        <v>603</v>
      </c>
      <c r="C196" s="3" t="s">
        <v>880</v>
      </c>
      <c r="D196" s="3" t="s">
        <v>182</v>
      </c>
      <c r="E196" s="4"/>
      <c r="F196" s="5">
        <v>44378</v>
      </c>
      <c r="G196" s="4">
        <v>8499121829</v>
      </c>
      <c r="H196" s="9">
        <v>904</v>
      </c>
      <c r="I196" s="6">
        <v>44483.249641203707</v>
      </c>
      <c r="J196" s="6">
        <v>44456.230104166665</v>
      </c>
      <c r="K196" s="3" t="s">
        <v>184</v>
      </c>
      <c r="L196" s="3" t="s">
        <v>184</v>
      </c>
      <c r="M196" t="b">
        <v>0</v>
      </c>
      <c r="N196" s="3"/>
      <c r="O196" s="3" t="s">
        <v>170</v>
      </c>
      <c r="P196" s="3" t="s">
        <v>1347</v>
      </c>
    </row>
    <row r="197" spans="1:16" x14ac:dyDescent="0.2">
      <c r="A197" s="3" t="s">
        <v>2329</v>
      </c>
      <c r="B197" s="3" t="s">
        <v>2330</v>
      </c>
      <c r="C197" s="3" t="s">
        <v>2331</v>
      </c>
      <c r="D197" s="3" t="s">
        <v>182</v>
      </c>
      <c r="E197" s="4"/>
      <c r="F197" s="5">
        <v>44378</v>
      </c>
      <c r="G197" s="4">
        <v>8498504495</v>
      </c>
      <c r="H197" s="9">
        <v>905</v>
      </c>
      <c r="I197" s="6">
        <v>44483.249641203707</v>
      </c>
      <c r="J197" s="6">
        <v>44466.372187499997</v>
      </c>
      <c r="K197" s="3" t="s">
        <v>184</v>
      </c>
      <c r="L197" s="3" t="s">
        <v>184</v>
      </c>
      <c r="M197" t="b">
        <v>1</v>
      </c>
      <c r="N197" s="3" t="s">
        <v>121</v>
      </c>
      <c r="O197" s="3" t="s">
        <v>170</v>
      </c>
      <c r="P197" s="3" t="s">
        <v>1347</v>
      </c>
    </row>
    <row r="198" spans="1:16" x14ac:dyDescent="0.2">
      <c r="A198" s="59" t="s">
        <v>584</v>
      </c>
      <c r="B198" s="59" t="s">
        <v>2332</v>
      </c>
      <c r="C198" s="59" t="s">
        <v>586</v>
      </c>
      <c r="D198" s="3" t="s">
        <v>393</v>
      </c>
      <c r="E198" s="4"/>
      <c r="F198" s="5">
        <v>44440</v>
      </c>
      <c r="G198" s="4">
        <v>8096606250</v>
      </c>
      <c r="H198" s="9">
        <v>906</v>
      </c>
      <c r="I198" s="6">
        <v>44483.249641203707</v>
      </c>
      <c r="J198" s="6">
        <v>44466.561689814815</v>
      </c>
      <c r="K198" s="3" t="s">
        <v>184</v>
      </c>
      <c r="L198" s="3" t="s">
        <v>184</v>
      </c>
      <c r="M198" s="8" t="b">
        <v>1</v>
      </c>
      <c r="N198" s="59" t="s">
        <v>48</v>
      </c>
      <c r="O198" s="59" t="s">
        <v>170</v>
      </c>
      <c r="P198" s="59" t="s">
        <v>1347</v>
      </c>
    </row>
    <row r="199" spans="1:16" x14ac:dyDescent="0.2">
      <c r="A199" s="59" t="s">
        <v>756</v>
      </c>
      <c r="B199" s="59" t="s">
        <v>757</v>
      </c>
      <c r="C199" s="59" t="s">
        <v>758</v>
      </c>
      <c r="D199" s="3" t="s">
        <v>760</v>
      </c>
      <c r="E199" s="4"/>
      <c r="F199" s="5">
        <v>44455</v>
      </c>
      <c r="G199" s="4">
        <v>8294509373</v>
      </c>
      <c r="H199" s="9">
        <v>907</v>
      </c>
      <c r="I199" s="6">
        <v>44483.316805555558</v>
      </c>
      <c r="J199" s="6">
        <v>44466.565613425926</v>
      </c>
      <c r="K199" s="3" t="s">
        <v>184</v>
      </c>
      <c r="L199" s="3" t="s">
        <v>184</v>
      </c>
      <c r="M199" s="8" t="b">
        <v>1</v>
      </c>
      <c r="N199" s="59" t="s">
        <v>62</v>
      </c>
      <c r="O199" s="59" t="s">
        <v>170</v>
      </c>
      <c r="P199" s="59" t="s">
        <v>1347</v>
      </c>
    </row>
    <row r="200" spans="1:16" x14ac:dyDescent="0.2">
      <c r="A200" s="59" t="s">
        <v>1019</v>
      </c>
      <c r="B200" s="59" t="s">
        <v>2333</v>
      </c>
      <c r="C200" s="59" t="s">
        <v>1021</v>
      </c>
      <c r="D200" s="3" t="s">
        <v>393</v>
      </c>
      <c r="E200" s="4"/>
      <c r="F200" s="5">
        <v>44457</v>
      </c>
      <c r="G200" s="4">
        <v>8097431951</v>
      </c>
      <c r="H200" s="9">
        <v>908</v>
      </c>
      <c r="I200" s="6">
        <v>44483.249641203707</v>
      </c>
      <c r="J200" s="6">
        <v>44467.348981481482</v>
      </c>
      <c r="K200" s="3" t="s">
        <v>184</v>
      </c>
      <c r="L200" s="3" t="s">
        <v>184</v>
      </c>
      <c r="M200" s="8" t="b">
        <v>1</v>
      </c>
      <c r="N200" s="59"/>
      <c r="O200" s="59" t="s">
        <v>170</v>
      </c>
      <c r="P200" s="59" t="s">
        <v>1347</v>
      </c>
    </row>
    <row r="201" spans="1:16" x14ac:dyDescent="0.2">
      <c r="A201" s="59" t="s">
        <v>2334</v>
      </c>
      <c r="B201" s="59" t="s">
        <v>2335</v>
      </c>
      <c r="C201" s="59" t="s">
        <v>2336</v>
      </c>
      <c r="D201" s="3" t="s">
        <v>393</v>
      </c>
      <c r="E201" s="4"/>
      <c r="F201" s="5">
        <v>44440</v>
      </c>
      <c r="G201" s="4">
        <v>8297888024</v>
      </c>
      <c r="H201" s="9">
        <v>910</v>
      </c>
      <c r="I201" s="6">
        <v>44483.317858796298</v>
      </c>
      <c r="J201" s="6">
        <v>44469.250925925924</v>
      </c>
      <c r="K201" s="3" t="s">
        <v>184</v>
      </c>
      <c r="L201" s="3" t="s">
        <v>184</v>
      </c>
      <c r="M201" s="8" t="b">
        <v>1</v>
      </c>
      <c r="N201" s="59" t="s">
        <v>51</v>
      </c>
      <c r="O201" s="59" t="s">
        <v>170</v>
      </c>
      <c r="P201" s="59" t="s">
        <v>1347</v>
      </c>
    </row>
    <row r="202" spans="1:16" x14ac:dyDescent="0.2">
      <c r="A202" s="59" t="s">
        <v>2404</v>
      </c>
      <c r="B202" s="59" t="s">
        <v>2405</v>
      </c>
      <c r="C202" s="59" t="s">
        <v>2406</v>
      </c>
      <c r="D202" s="3" t="s">
        <v>182</v>
      </c>
      <c r="E202" s="4"/>
      <c r="F202" s="5">
        <v>44470</v>
      </c>
      <c r="G202" s="4">
        <v>8097614633</v>
      </c>
      <c r="H202" s="9">
        <v>911</v>
      </c>
      <c r="I202" s="6">
        <v>44495.38548611111</v>
      </c>
      <c r="J202" s="6">
        <v>44485.376712962963</v>
      </c>
      <c r="K202" s="3" t="s">
        <v>184</v>
      </c>
      <c r="L202" s="3" t="s">
        <v>184</v>
      </c>
      <c r="M202" s="8" t="b">
        <v>1</v>
      </c>
      <c r="N202" s="59" t="s">
        <v>50</v>
      </c>
      <c r="O202" s="59" t="s">
        <v>170</v>
      </c>
      <c r="P202" s="59" t="s">
        <v>1347</v>
      </c>
    </row>
    <row r="203" spans="1:16" x14ac:dyDescent="0.2">
      <c r="A203" s="59" t="s">
        <v>2407</v>
      </c>
      <c r="B203" s="59" t="s">
        <v>2408</v>
      </c>
      <c r="C203" s="59" t="s">
        <v>2409</v>
      </c>
      <c r="D203" s="3" t="s">
        <v>393</v>
      </c>
      <c r="E203" s="4"/>
      <c r="F203" s="5">
        <v>44470</v>
      </c>
      <c r="G203" s="4">
        <v>8298555511</v>
      </c>
      <c r="H203" s="9">
        <v>912</v>
      </c>
      <c r="I203" s="6">
        <v>44494.566400462965</v>
      </c>
      <c r="J203" s="6">
        <v>44494.248530092591</v>
      </c>
      <c r="K203" s="3" t="s">
        <v>184</v>
      </c>
      <c r="L203" s="3" t="s">
        <v>184</v>
      </c>
      <c r="M203" s="8" t="b">
        <v>1</v>
      </c>
      <c r="N203" s="59" t="s">
        <v>75</v>
      </c>
      <c r="O203" s="59" t="s">
        <v>170</v>
      </c>
      <c r="P203" s="59" t="s">
        <v>1347</v>
      </c>
    </row>
    <row r="204" spans="1:16" x14ac:dyDescent="0.2">
      <c r="A204" s="59" t="s">
        <v>873</v>
      </c>
      <c r="B204" s="59" t="s">
        <v>874</v>
      </c>
      <c r="C204" s="59" t="s">
        <v>875</v>
      </c>
      <c r="D204" s="3" t="s">
        <v>393</v>
      </c>
      <c r="E204" s="4"/>
      <c r="F204" s="5">
        <v>44470</v>
      </c>
      <c r="G204" s="4">
        <v>8293968171</v>
      </c>
      <c r="H204" s="9">
        <v>913</v>
      </c>
      <c r="I204" s="6">
        <v>44495.455937500003</v>
      </c>
      <c r="J204" s="6">
        <v>44495.381898148145</v>
      </c>
      <c r="K204" s="3" t="s">
        <v>184</v>
      </c>
      <c r="L204" s="3" t="s">
        <v>184</v>
      </c>
      <c r="M204" s="8" t="b">
        <v>1</v>
      </c>
      <c r="N204" s="59" t="s">
        <v>45</v>
      </c>
      <c r="O204" s="59" t="s">
        <v>170</v>
      </c>
      <c r="P204" s="59" t="s">
        <v>1347</v>
      </c>
    </row>
    <row r="205" spans="1:16" x14ac:dyDescent="0.2">
      <c r="A205" s="59" t="s">
        <v>669</v>
      </c>
      <c r="B205" s="59" t="s">
        <v>670</v>
      </c>
      <c r="C205" s="59" t="s">
        <v>671</v>
      </c>
      <c r="D205" s="3" t="s">
        <v>182</v>
      </c>
      <c r="E205" s="4"/>
      <c r="F205" s="5">
        <v>44470</v>
      </c>
      <c r="G205" s="4">
        <v>8296998292</v>
      </c>
      <c r="H205" s="9">
        <v>914</v>
      </c>
      <c r="I205" s="6">
        <v>44498.592199074075</v>
      </c>
      <c r="J205" s="6">
        <v>44498.586643518516</v>
      </c>
      <c r="K205" s="3" t="s">
        <v>184</v>
      </c>
      <c r="L205" s="3" t="s">
        <v>184</v>
      </c>
      <c r="M205" s="8" t="b">
        <v>1</v>
      </c>
      <c r="N205" s="59" t="s">
        <v>48</v>
      </c>
      <c r="O205" s="59" t="s">
        <v>170</v>
      </c>
      <c r="P205" s="59" t="s">
        <v>1347</v>
      </c>
    </row>
    <row r="206" spans="1:16" x14ac:dyDescent="0.2">
      <c r="A206" s="59" t="s">
        <v>1107</v>
      </c>
      <c r="B206" s="59" t="s">
        <v>1108</v>
      </c>
      <c r="C206" s="59" t="s">
        <v>1109</v>
      </c>
      <c r="D206" s="3" t="s">
        <v>393</v>
      </c>
      <c r="E206" s="4"/>
      <c r="F206" s="5">
        <v>44502</v>
      </c>
      <c r="G206" s="4">
        <v>8096176706</v>
      </c>
      <c r="H206" s="9">
        <v>915</v>
      </c>
      <c r="I206" s="6">
        <v>44505.297407407408</v>
      </c>
      <c r="J206" s="6">
        <v>44502.376446759263</v>
      </c>
      <c r="K206" s="3" t="s">
        <v>184</v>
      </c>
      <c r="L206" s="3" t="s">
        <v>184</v>
      </c>
      <c r="M206" s="8" t="b">
        <v>1</v>
      </c>
      <c r="N206" s="59" t="s">
        <v>74</v>
      </c>
      <c r="O206" s="59" t="s">
        <v>170</v>
      </c>
      <c r="P206" s="59" t="s">
        <v>1347</v>
      </c>
    </row>
    <row r="207" spans="1:16" x14ac:dyDescent="0.2">
      <c r="A207" s="59" t="s">
        <v>2608</v>
      </c>
      <c r="B207" s="59" t="s">
        <v>2609</v>
      </c>
      <c r="C207" s="59" t="s">
        <v>2610</v>
      </c>
      <c r="D207" s="3" t="s">
        <v>393</v>
      </c>
      <c r="E207" s="4"/>
      <c r="F207" s="5">
        <v>44510</v>
      </c>
      <c r="G207" s="4">
        <v>8493526910</v>
      </c>
      <c r="H207" s="9">
        <v>917</v>
      </c>
      <c r="I207" s="6">
        <v>44510.451747685183</v>
      </c>
      <c r="J207" s="6">
        <v>44510.451747685183</v>
      </c>
      <c r="K207" s="3" t="s">
        <v>184</v>
      </c>
      <c r="L207" s="3" t="s">
        <v>184</v>
      </c>
      <c r="M207" s="8" t="b">
        <v>1</v>
      </c>
      <c r="N207" s="59" t="s">
        <v>61</v>
      </c>
      <c r="O207" s="59" t="s">
        <v>170</v>
      </c>
      <c r="P207" s="59" t="s">
        <v>1347</v>
      </c>
    </row>
    <row r="208" spans="1:16" x14ac:dyDescent="0.2">
      <c r="A208" s="59" t="s">
        <v>2423</v>
      </c>
      <c r="B208" s="59" t="s">
        <v>158</v>
      </c>
      <c r="C208" s="59" t="s">
        <v>2611</v>
      </c>
      <c r="D208" s="3" t="s">
        <v>393</v>
      </c>
      <c r="E208" s="4"/>
      <c r="F208" s="5">
        <v>44511</v>
      </c>
      <c r="G208" s="4">
        <v>8292967584</v>
      </c>
      <c r="H208" s="9">
        <v>918</v>
      </c>
      <c r="I208" s="6">
        <v>44511.246747685182</v>
      </c>
      <c r="J208" s="6">
        <v>44511.246747685182</v>
      </c>
      <c r="K208" s="3" t="s">
        <v>184</v>
      </c>
      <c r="L208" s="3" t="s">
        <v>184</v>
      </c>
      <c r="M208" s="8" t="b">
        <v>1</v>
      </c>
      <c r="N208" s="59" t="s">
        <v>48</v>
      </c>
      <c r="O208" s="59" t="s">
        <v>170</v>
      </c>
      <c r="P208" s="59" t="s">
        <v>1347</v>
      </c>
    </row>
    <row r="209" spans="1:16" x14ac:dyDescent="0.2">
      <c r="A209" s="59" t="s">
        <v>889</v>
      </c>
      <c r="B209" s="59" t="s">
        <v>890</v>
      </c>
      <c r="C209" s="59" t="s">
        <v>2612</v>
      </c>
      <c r="D209" s="3" t="s">
        <v>393</v>
      </c>
      <c r="E209" s="4"/>
      <c r="F209" s="5">
        <v>44511</v>
      </c>
      <c r="G209" s="4">
        <v>8099961173</v>
      </c>
      <c r="H209" s="9">
        <v>919</v>
      </c>
      <c r="I209" s="6">
        <v>44511.451585648145</v>
      </c>
      <c r="J209" s="6">
        <v>44511.451585648145</v>
      </c>
      <c r="K209" s="3" t="s">
        <v>184</v>
      </c>
      <c r="L209" s="3" t="s">
        <v>184</v>
      </c>
      <c r="M209" s="8" t="b">
        <v>1</v>
      </c>
      <c r="N209" s="59" t="s">
        <v>120</v>
      </c>
      <c r="O209" s="59" t="s">
        <v>170</v>
      </c>
      <c r="P209" s="59" t="s">
        <v>1347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U232"/>
  <sheetViews>
    <sheetView workbookViewId="0"/>
  </sheetViews>
  <sheetFormatPr baseColWidth="10" defaultRowHeight="15" x14ac:dyDescent="0.2"/>
  <cols>
    <col min="1" max="1" width="12" bestFit="1" customWidth="1"/>
    <col min="2" max="2" width="24.5" bestFit="1" customWidth="1"/>
    <col min="3" max="3" width="26" bestFit="1" customWidth="1"/>
    <col min="4" max="4" width="25.5" bestFit="1" customWidth="1"/>
    <col min="5" max="5" width="46.33203125" bestFit="1" customWidth="1"/>
    <col min="6" max="6" width="23.5" bestFit="1" customWidth="1"/>
    <col min="7" max="7" width="23.33203125" bestFit="1" customWidth="1"/>
    <col min="8" max="8" width="14.1640625" bestFit="1" customWidth="1"/>
    <col min="9" max="9" width="12.6640625" bestFit="1" customWidth="1"/>
    <col min="10" max="10" width="39" bestFit="1" customWidth="1"/>
    <col min="11" max="11" width="11.83203125" bestFit="1" customWidth="1"/>
    <col min="12" max="12" width="15.6640625" bestFit="1" customWidth="1"/>
    <col min="13" max="14" width="27.1640625" bestFit="1" customWidth="1"/>
    <col min="15" max="16" width="15.6640625" bestFit="1" customWidth="1"/>
    <col min="17" max="18" width="32.1640625" bestFit="1" customWidth="1"/>
    <col min="19" max="19" width="72.83203125" bestFit="1" customWidth="1"/>
    <col min="20" max="20" width="12.1640625" bestFit="1" customWidth="1"/>
    <col min="21" max="21" width="67.83203125" bestFit="1" customWidth="1"/>
  </cols>
  <sheetData>
    <row r="1" spans="1:21" x14ac:dyDescent="0.2">
      <c r="A1" t="s">
        <v>138</v>
      </c>
      <c r="B1" t="s">
        <v>139</v>
      </c>
      <c r="C1" t="s">
        <v>140</v>
      </c>
      <c r="D1" t="s">
        <v>141</v>
      </c>
      <c r="E1" t="s">
        <v>3</v>
      </c>
      <c r="F1" t="s">
        <v>142</v>
      </c>
      <c r="G1" t="s">
        <v>143</v>
      </c>
      <c r="H1" t="s">
        <v>144</v>
      </c>
      <c r="I1" t="s">
        <v>2</v>
      </c>
      <c r="J1" t="s">
        <v>145</v>
      </c>
      <c r="K1" t="s">
        <v>146</v>
      </c>
      <c r="L1" t="s">
        <v>147</v>
      </c>
      <c r="M1" t="s">
        <v>148</v>
      </c>
      <c r="N1" t="s">
        <v>149</v>
      </c>
      <c r="O1" t="s">
        <v>150</v>
      </c>
      <c r="P1" t="s">
        <v>151</v>
      </c>
      <c r="Q1" t="s">
        <v>152</v>
      </c>
      <c r="R1" t="s">
        <v>153</v>
      </c>
      <c r="S1" t="s">
        <v>154</v>
      </c>
      <c r="T1" t="s">
        <v>155</v>
      </c>
      <c r="U1" t="s">
        <v>156</v>
      </c>
    </row>
    <row r="2" spans="1:21" ht="16" x14ac:dyDescent="0.2">
      <c r="A2" s="3" t="s">
        <v>157</v>
      </c>
      <c r="B2" s="3" t="s">
        <v>158</v>
      </c>
      <c r="C2" s="3" t="s">
        <v>159</v>
      </c>
      <c r="D2" s="3" t="s">
        <v>160</v>
      </c>
      <c r="E2" s="3" t="s">
        <v>161</v>
      </c>
      <c r="F2" s="3" t="s">
        <v>162</v>
      </c>
      <c r="G2" s="3" t="s">
        <v>157</v>
      </c>
      <c r="H2" s="3" t="s">
        <v>163</v>
      </c>
      <c r="I2" s="4">
        <v>8093774750</v>
      </c>
      <c r="J2" s="3" t="s">
        <v>164</v>
      </c>
      <c r="K2" t="b">
        <v>0</v>
      </c>
      <c r="L2" s="5">
        <v>44244</v>
      </c>
      <c r="M2" s="3" t="s">
        <v>165</v>
      </c>
      <c r="N2" s="3" t="s">
        <v>166</v>
      </c>
      <c r="O2" s="6">
        <v>44263.242407407408</v>
      </c>
      <c r="P2" s="6">
        <v>44215.504884259259</v>
      </c>
      <c r="Q2" s="3" t="s">
        <v>167</v>
      </c>
      <c r="R2" s="3" t="s">
        <v>168</v>
      </c>
      <c r="S2" s="7" t="s">
        <v>169</v>
      </c>
      <c r="T2" s="3" t="s">
        <v>170</v>
      </c>
      <c r="U2" s="3" t="s">
        <v>171</v>
      </c>
    </row>
    <row r="3" spans="1:21" ht="16" x14ac:dyDescent="0.2">
      <c r="A3" s="3" t="s">
        <v>172</v>
      </c>
      <c r="B3" s="3" t="s">
        <v>173</v>
      </c>
      <c r="C3" s="3" t="s">
        <v>174</v>
      </c>
      <c r="D3" s="3" t="s">
        <v>175</v>
      </c>
      <c r="E3" s="3" t="s">
        <v>176</v>
      </c>
      <c r="F3" s="3" t="s">
        <v>177</v>
      </c>
      <c r="G3" s="3" t="s">
        <v>178</v>
      </c>
      <c r="H3" s="3" t="s">
        <v>179</v>
      </c>
      <c r="I3" s="4">
        <v>8099750067</v>
      </c>
      <c r="J3" s="3" t="s">
        <v>180</v>
      </c>
      <c r="K3" t="b">
        <v>1</v>
      </c>
      <c r="L3" s="5">
        <v>44504</v>
      </c>
      <c r="M3" s="3" t="s">
        <v>181</v>
      </c>
      <c r="N3" s="3" t="s">
        <v>182</v>
      </c>
      <c r="O3" s="6">
        <v>44504.376180555555</v>
      </c>
      <c r="P3" s="6">
        <v>44253.480162037034</v>
      </c>
      <c r="Q3" s="3" t="s">
        <v>183</v>
      </c>
      <c r="R3" s="3" t="s">
        <v>184</v>
      </c>
      <c r="S3" s="7" t="s">
        <v>185</v>
      </c>
      <c r="T3" s="3" t="s">
        <v>170</v>
      </c>
      <c r="U3" s="3" t="s">
        <v>171</v>
      </c>
    </row>
    <row r="4" spans="1:21" ht="16" x14ac:dyDescent="0.2">
      <c r="A4" s="3" t="s">
        <v>186</v>
      </c>
      <c r="B4" s="3" t="s">
        <v>187</v>
      </c>
      <c r="C4" s="3" t="s">
        <v>188</v>
      </c>
      <c r="D4" s="3" t="s">
        <v>175</v>
      </c>
      <c r="E4" s="3" t="s">
        <v>161</v>
      </c>
      <c r="F4" s="3" t="s">
        <v>177</v>
      </c>
      <c r="G4" s="3" t="s">
        <v>189</v>
      </c>
      <c r="H4" s="3" t="s">
        <v>190</v>
      </c>
      <c r="I4" s="4">
        <v>8098823209</v>
      </c>
      <c r="J4" s="3" t="s">
        <v>191</v>
      </c>
      <c r="K4" t="b">
        <v>0</v>
      </c>
      <c r="L4" s="5">
        <v>44432</v>
      </c>
      <c r="M4" s="3" t="s">
        <v>181</v>
      </c>
      <c r="N4" s="3" t="s">
        <v>182</v>
      </c>
      <c r="O4" s="6">
        <v>44432.303715277776</v>
      </c>
      <c r="P4" s="6">
        <v>44253.482349537036</v>
      </c>
      <c r="Q4" s="3" t="s">
        <v>183</v>
      </c>
      <c r="R4" s="3" t="s">
        <v>184</v>
      </c>
      <c r="S4" s="7" t="s">
        <v>185</v>
      </c>
      <c r="T4" s="3" t="s">
        <v>170</v>
      </c>
      <c r="U4" s="3" t="s">
        <v>171</v>
      </c>
    </row>
    <row r="5" spans="1:21" ht="16" x14ac:dyDescent="0.2">
      <c r="A5" s="3" t="s">
        <v>192</v>
      </c>
      <c r="B5" s="3" t="s">
        <v>193</v>
      </c>
      <c r="C5" s="3" t="s">
        <v>194</v>
      </c>
      <c r="D5" s="3" t="s">
        <v>175</v>
      </c>
      <c r="E5" s="3" t="s">
        <v>176</v>
      </c>
      <c r="F5" s="3" t="s">
        <v>177</v>
      </c>
      <c r="G5" s="3" t="s">
        <v>195</v>
      </c>
      <c r="H5" s="3" t="s">
        <v>196</v>
      </c>
      <c r="I5" s="4">
        <v>8095125174</v>
      </c>
      <c r="J5" s="3" t="s">
        <v>197</v>
      </c>
      <c r="K5" t="b">
        <v>1</v>
      </c>
      <c r="L5" s="5">
        <v>44508</v>
      </c>
      <c r="M5" s="3" t="s">
        <v>181</v>
      </c>
      <c r="N5" s="3" t="s">
        <v>182</v>
      </c>
      <c r="O5" s="6">
        <v>44508.285474537035</v>
      </c>
      <c r="P5" s="6">
        <v>44253.482465277775</v>
      </c>
      <c r="Q5" s="3" t="s">
        <v>183</v>
      </c>
      <c r="R5" s="3" t="s">
        <v>184</v>
      </c>
      <c r="S5" s="7" t="s">
        <v>185</v>
      </c>
      <c r="T5" s="3" t="s">
        <v>170</v>
      </c>
      <c r="U5" s="3" t="s">
        <v>171</v>
      </c>
    </row>
    <row r="6" spans="1:21" ht="16" x14ac:dyDescent="0.2">
      <c r="A6" s="3" t="s">
        <v>198</v>
      </c>
      <c r="B6" s="3" t="s">
        <v>199</v>
      </c>
      <c r="C6" s="3" t="s">
        <v>200</v>
      </c>
      <c r="D6" s="3" t="s">
        <v>160</v>
      </c>
      <c r="E6" s="3" t="s">
        <v>201</v>
      </c>
      <c r="F6" s="3" t="s">
        <v>160</v>
      </c>
      <c r="G6" s="3" t="s">
        <v>202</v>
      </c>
      <c r="H6" s="3" t="s">
        <v>203</v>
      </c>
      <c r="I6" s="4">
        <v>8299400114</v>
      </c>
      <c r="J6" s="3" t="s">
        <v>204</v>
      </c>
      <c r="K6" t="b">
        <v>0</v>
      </c>
      <c r="L6" s="5">
        <v>44432</v>
      </c>
      <c r="M6" s="3" t="s">
        <v>181</v>
      </c>
      <c r="N6" s="3" t="s">
        <v>182</v>
      </c>
      <c r="O6" s="6">
        <v>44432.304849537039</v>
      </c>
      <c r="P6" s="6">
        <v>44253.482569444444</v>
      </c>
      <c r="Q6" s="3" t="s">
        <v>183</v>
      </c>
      <c r="R6" s="3" t="s">
        <v>184</v>
      </c>
      <c r="S6" s="7" t="s">
        <v>185</v>
      </c>
      <c r="T6" s="3" t="s">
        <v>170</v>
      </c>
      <c r="U6" s="3" t="s">
        <v>171</v>
      </c>
    </row>
    <row r="7" spans="1:21" ht="16" x14ac:dyDescent="0.2">
      <c r="A7" s="3" t="s">
        <v>205</v>
      </c>
      <c r="B7" s="3" t="s">
        <v>206</v>
      </c>
      <c r="C7" s="3" t="s">
        <v>207</v>
      </c>
      <c r="D7" s="3" t="s">
        <v>175</v>
      </c>
      <c r="E7" s="3" t="s">
        <v>176</v>
      </c>
      <c r="F7" s="3" t="s">
        <v>177</v>
      </c>
      <c r="G7" s="3" t="s">
        <v>208</v>
      </c>
      <c r="H7" s="3" t="s">
        <v>209</v>
      </c>
      <c r="I7" s="4">
        <v>8296052893</v>
      </c>
      <c r="J7" s="3" t="s">
        <v>210</v>
      </c>
      <c r="K7" t="b">
        <v>0</v>
      </c>
      <c r="L7" s="5">
        <v>44373</v>
      </c>
      <c r="M7" s="3" t="s">
        <v>181</v>
      </c>
      <c r="N7" s="3" t="s">
        <v>182</v>
      </c>
      <c r="O7" s="6">
        <v>44434.330833333333</v>
      </c>
      <c r="P7" s="6">
        <v>44253.482604166667</v>
      </c>
      <c r="Q7" s="3" t="s">
        <v>183</v>
      </c>
      <c r="R7" s="3" t="s">
        <v>184</v>
      </c>
      <c r="S7" s="7" t="s">
        <v>185</v>
      </c>
      <c r="T7" s="3" t="s">
        <v>170</v>
      </c>
      <c r="U7" s="3" t="s">
        <v>171</v>
      </c>
    </row>
    <row r="8" spans="1:21" ht="16" x14ac:dyDescent="0.2">
      <c r="A8" s="3" t="s">
        <v>211</v>
      </c>
      <c r="B8" s="3" t="s">
        <v>212</v>
      </c>
      <c r="C8" s="3" t="s">
        <v>213</v>
      </c>
      <c r="D8" s="3" t="s">
        <v>160</v>
      </c>
      <c r="E8" s="3" t="s">
        <v>201</v>
      </c>
      <c r="F8" s="3" t="s">
        <v>160</v>
      </c>
      <c r="G8" s="3" t="s">
        <v>202</v>
      </c>
      <c r="H8" s="3" t="s">
        <v>214</v>
      </c>
      <c r="I8" s="4">
        <v>8299219638</v>
      </c>
      <c r="J8" s="3" t="s">
        <v>215</v>
      </c>
      <c r="K8" t="b">
        <v>1</v>
      </c>
      <c r="L8" s="5">
        <v>44253</v>
      </c>
      <c r="M8" s="3" t="s">
        <v>181</v>
      </c>
      <c r="N8" s="3" t="s">
        <v>182</v>
      </c>
      <c r="O8" s="6">
        <v>44253.48265046296</v>
      </c>
      <c r="P8" s="6">
        <v>44253.48265046296</v>
      </c>
      <c r="Q8" s="3" t="s">
        <v>183</v>
      </c>
      <c r="R8" s="3" t="s">
        <v>183</v>
      </c>
      <c r="S8" s="7" t="s">
        <v>185</v>
      </c>
      <c r="T8" s="3" t="s">
        <v>170</v>
      </c>
      <c r="U8" s="3" t="s">
        <v>171</v>
      </c>
    </row>
    <row r="9" spans="1:21" ht="16" x14ac:dyDescent="0.2">
      <c r="A9" s="3" t="s">
        <v>216</v>
      </c>
      <c r="B9" s="3" t="s">
        <v>217</v>
      </c>
      <c r="C9" s="3" t="s">
        <v>218</v>
      </c>
      <c r="D9" s="3" t="s">
        <v>160</v>
      </c>
      <c r="E9" s="3" t="s">
        <v>201</v>
      </c>
      <c r="F9" s="3" t="s">
        <v>160</v>
      </c>
      <c r="G9" s="3" t="s">
        <v>219</v>
      </c>
      <c r="H9" s="3" t="s">
        <v>220</v>
      </c>
      <c r="I9" s="4">
        <v>8099800556</v>
      </c>
      <c r="J9" s="3" t="s">
        <v>221</v>
      </c>
      <c r="K9" t="b">
        <v>1</v>
      </c>
      <c r="L9" s="5">
        <v>44253</v>
      </c>
      <c r="M9" s="3" t="s">
        <v>181</v>
      </c>
      <c r="N9" s="3" t="s">
        <v>182</v>
      </c>
      <c r="O9" s="6">
        <v>44253.483981481484</v>
      </c>
      <c r="P9" s="6">
        <v>44253.482847222222</v>
      </c>
      <c r="Q9" s="3" t="s">
        <v>183</v>
      </c>
      <c r="R9" s="3" t="s">
        <v>183</v>
      </c>
      <c r="S9" s="7" t="s">
        <v>185</v>
      </c>
      <c r="T9" s="3" t="s">
        <v>170</v>
      </c>
      <c r="U9" s="3" t="s">
        <v>171</v>
      </c>
    </row>
    <row r="10" spans="1:21" ht="16" x14ac:dyDescent="0.2">
      <c r="A10" s="3" t="s">
        <v>222</v>
      </c>
      <c r="B10" s="3" t="s">
        <v>223</v>
      </c>
      <c r="C10" s="3" t="s">
        <v>224</v>
      </c>
      <c r="D10" s="3" t="s">
        <v>175</v>
      </c>
      <c r="E10" s="3" t="s">
        <v>176</v>
      </c>
      <c r="F10" s="3" t="s">
        <v>177</v>
      </c>
      <c r="G10" s="3" t="s">
        <v>225</v>
      </c>
      <c r="H10" s="3" t="s">
        <v>226</v>
      </c>
      <c r="I10" s="4">
        <v>8099862671</v>
      </c>
      <c r="J10" s="3" t="s">
        <v>227</v>
      </c>
      <c r="K10" t="b">
        <v>1</v>
      </c>
      <c r="L10" s="5">
        <v>44253</v>
      </c>
      <c r="M10" s="3" t="s">
        <v>181</v>
      </c>
      <c r="N10" s="3" t="s">
        <v>182</v>
      </c>
      <c r="O10" s="6">
        <v>44259.205995370372</v>
      </c>
      <c r="P10" s="6">
        <v>44253.485324074078</v>
      </c>
      <c r="Q10" s="3" t="s">
        <v>183</v>
      </c>
      <c r="R10" s="3" t="s">
        <v>168</v>
      </c>
      <c r="S10" s="7" t="s">
        <v>185</v>
      </c>
      <c r="T10" s="3" t="s">
        <v>170</v>
      </c>
      <c r="U10" s="3" t="s">
        <v>171</v>
      </c>
    </row>
    <row r="11" spans="1:21" ht="16" x14ac:dyDescent="0.2">
      <c r="A11" s="3" t="s">
        <v>228</v>
      </c>
      <c r="B11" s="3" t="s">
        <v>229</v>
      </c>
      <c r="C11" s="3" t="s">
        <v>230</v>
      </c>
      <c r="D11" s="3" t="s">
        <v>175</v>
      </c>
      <c r="E11" s="3" t="s">
        <v>176</v>
      </c>
      <c r="F11" s="3" t="s">
        <v>177</v>
      </c>
      <c r="G11" s="3" t="s">
        <v>231</v>
      </c>
      <c r="H11" s="3" t="s">
        <v>232</v>
      </c>
      <c r="I11" s="4">
        <v>8298992467</v>
      </c>
      <c r="J11" s="3" t="s">
        <v>233</v>
      </c>
      <c r="K11" t="b">
        <v>1</v>
      </c>
      <c r="L11" s="5">
        <v>44253</v>
      </c>
      <c r="M11" s="3" t="s">
        <v>181</v>
      </c>
      <c r="N11" s="3" t="s">
        <v>182</v>
      </c>
      <c r="O11" s="6">
        <v>44253.485358796293</v>
      </c>
      <c r="P11" s="6">
        <v>44253.485358796293</v>
      </c>
      <c r="Q11" s="3" t="s">
        <v>183</v>
      </c>
      <c r="R11" s="3" t="s">
        <v>183</v>
      </c>
      <c r="S11" s="7" t="s">
        <v>185</v>
      </c>
      <c r="T11" s="3" t="s">
        <v>170</v>
      </c>
      <c r="U11" s="3" t="s">
        <v>171</v>
      </c>
    </row>
    <row r="12" spans="1:21" ht="16" x14ac:dyDescent="0.2">
      <c r="A12" s="3" t="s">
        <v>234</v>
      </c>
      <c r="B12" s="3" t="s">
        <v>235</v>
      </c>
      <c r="C12" s="3" t="s">
        <v>236</v>
      </c>
      <c r="D12" s="3" t="s">
        <v>175</v>
      </c>
      <c r="E12" s="3" t="s">
        <v>176</v>
      </c>
      <c r="F12" s="3" t="s">
        <v>177</v>
      </c>
      <c r="G12" s="3" t="s">
        <v>237</v>
      </c>
      <c r="H12" s="3" t="s">
        <v>238</v>
      </c>
      <c r="I12" s="4">
        <v>8299234696</v>
      </c>
      <c r="J12" s="3" t="s">
        <v>239</v>
      </c>
      <c r="K12" t="b">
        <v>1</v>
      </c>
      <c r="L12" s="5">
        <v>44253</v>
      </c>
      <c r="M12" s="3" t="s">
        <v>181</v>
      </c>
      <c r="N12" s="3" t="s">
        <v>182</v>
      </c>
      <c r="O12" s="6">
        <v>44253.48537037037</v>
      </c>
      <c r="P12" s="6">
        <v>44253.48537037037</v>
      </c>
      <c r="Q12" s="3" t="s">
        <v>183</v>
      </c>
      <c r="R12" s="3" t="s">
        <v>183</v>
      </c>
      <c r="S12" s="7" t="s">
        <v>185</v>
      </c>
      <c r="T12" s="3" t="s">
        <v>170</v>
      </c>
      <c r="U12" s="3" t="s">
        <v>171</v>
      </c>
    </row>
    <row r="13" spans="1:21" ht="16" x14ac:dyDescent="0.2">
      <c r="A13" s="3" t="s">
        <v>240</v>
      </c>
      <c r="B13" s="3" t="s">
        <v>241</v>
      </c>
      <c r="C13" s="3" t="s">
        <v>242</v>
      </c>
      <c r="D13" s="3" t="s">
        <v>175</v>
      </c>
      <c r="E13" s="3" t="s">
        <v>243</v>
      </c>
      <c r="F13" s="3" t="s">
        <v>177</v>
      </c>
      <c r="G13" s="3" t="s">
        <v>244</v>
      </c>
      <c r="H13" s="3" t="s">
        <v>245</v>
      </c>
      <c r="I13" s="4">
        <v>8298854025</v>
      </c>
      <c r="J13" s="3" t="s">
        <v>246</v>
      </c>
      <c r="K13" t="b">
        <v>0</v>
      </c>
      <c r="L13" s="5">
        <v>44434</v>
      </c>
      <c r="M13" s="3" t="s">
        <v>181</v>
      </c>
      <c r="N13" s="3" t="s">
        <v>182</v>
      </c>
      <c r="O13" s="6">
        <v>44434.334189814814</v>
      </c>
      <c r="P13" s="6">
        <v>44253.485393518517</v>
      </c>
      <c r="Q13" s="3" t="s">
        <v>183</v>
      </c>
      <c r="R13" s="3" t="s">
        <v>184</v>
      </c>
      <c r="S13" s="7" t="s">
        <v>185</v>
      </c>
      <c r="T13" s="3" t="s">
        <v>170</v>
      </c>
      <c r="U13" s="3" t="s">
        <v>171</v>
      </c>
    </row>
    <row r="14" spans="1:21" ht="16" x14ac:dyDescent="0.2">
      <c r="A14" s="3" t="s">
        <v>247</v>
      </c>
      <c r="B14" s="3" t="s">
        <v>248</v>
      </c>
      <c r="C14" s="3" t="s">
        <v>249</v>
      </c>
      <c r="D14" s="3" t="s">
        <v>160</v>
      </c>
      <c r="E14" s="3" t="s">
        <v>201</v>
      </c>
      <c r="F14" s="3" t="s">
        <v>160</v>
      </c>
      <c r="G14" s="3" t="s">
        <v>202</v>
      </c>
      <c r="H14" s="3" t="s">
        <v>250</v>
      </c>
      <c r="I14" s="4">
        <v>8097156276</v>
      </c>
      <c r="J14" s="3" t="s">
        <v>251</v>
      </c>
      <c r="K14" t="b">
        <v>1</v>
      </c>
      <c r="L14" s="5">
        <v>44253</v>
      </c>
      <c r="M14" s="3" t="s">
        <v>181</v>
      </c>
      <c r="N14" s="3" t="s">
        <v>182</v>
      </c>
      <c r="O14" s="6">
        <v>44253.48541666667</v>
      </c>
      <c r="P14" s="6">
        <v>44253.48541666667</v>
      </c>
      <c r="Q14" s="3" t="s">
        <v>183</v>
      </c>
      <c r="R14" s="3" t="s">
        <v>183</v>
      </c>
      <c r="S14" s="7" t="s">
        <v>185</v>
      </c>
      <c r="T14" s="3" t="s">
        <v>170</v>
      </c>
      <c r="U14" s="3" t="s">
        <v>171</v>
      </c>
    </row>
    <row r="15" spans="1:21" ht="16" x14ac:dyDescent="0.2">
      <c r="A15" s="3" t="s">
        <v>252</v>
      </c>
      <c r="B15" s="3" t="s">
        <v>253</v>
      </c>
      <c r="C15" s="3" t="s">
        <v>254</v>
      </c>
      <c r="D15" s="3" t="s">
        <v>175</v>
      </c>
      <c r="E15" s="3" t="s">
        <v>176</v>
      </c>
      <c r="F15" s="3" t="s">
        <v>177</v>
      </c>
      <c r="G15" s="3" t="s">
        <v>255</v>
      </c>
      <c r="H15" s="3" t="s">
        <v>256</v>
      </c>
      <c r="I15" s="4">
        <v>8094719702</v>
      </c>
      <c r="J15" s="3" t="s">
        <v>257</v>
      </c>
      <c r="K15" t="b">
        <v>1</v>
      </c>
      <c r="L15" s="5">
        <v>44253</v>
      </c>
      <c r="M15" s="3" t="s">
        <v>181</v>
      </c>
      <c r="N15" s="3" t="s">
        <v>182</v>
      </c>
      <c r="O15" s="6">
        <v>44253.48542824074</v>
      </c>
      <c r="P15" s="6">
        <v>44253.48542824074</v>
      </c>
      <c r="Q15" s="3" t="s">
        <v>183</v>
      </c>
      <c r="R15" s="3" t="s">
        <v>183</v>
      </c>
      <c r="S15" s="7" t="s">
        <v>185</v>
      </c>
      <c r="T15" s="3" t="s">
        <v>170</v>
      </c>
      <c r="U15" s="3" t="s">
        <v>171</v>
      </c>
    </row>
    <row r="16" spans="1:21" ht="16" x14ac:dyDescent="0.2">
      <c r="A16" s="3" t="s">
        <v>258</v>
      </c>
      <c r="B16" s="3" t="s">
        <v>259</v>
      </c>
      <c r="C16" s="3" t="s">
        <v>260</v>
      </c>
      <c r="D16" s="3" t="s">
        <v>175</v>
      </c>
      <c r="E16" s="3" t="s">
        <v>176</v>
      </c>
      <c r="F16" s="3" t="s">
        <v>177</v>
      </c>
      <c r="G16" s="3" t="s">
        <v>261</v>
      </c>
      <c r="H16" s="3" t="s">
        <v>262</v>
      </c>
      <c r="I16" s="4">
        <v>8299799283</v>
      </c>
      <c r="J16" s="3" t="s">
        <v>263</v>
      </c>
      <c r="K16" t="b">
        <v>1</v>
      </c>
      <c r="L16" s="5">
        <v>44253</v>
      </c>
      <c r="M16" s="3" t="s">
        <v>181</v>
      </c>
      <c r="N16" s="3" t="s">
        <v>182</v>
      </c>
      <c r="O16" s="6">
        <v>44253.485439814816</v>
      </c>
      <c r="P16" s="6">
        <v>44253.485439814816</v>
      </c>
      <c r="Q16" s="3" t="s">
        <v>183</v>
      </c>
      <c r="R16" s="3" t="s">
        <v>183</v>
      </c>
      <c r="S16" s="7" t="s">
        <v>185</v>
      </c>
      <c r="T16" s="3" t="s">
        <v>170</v>
      </c>
      <c r="U16" s="3" t="s">
        <v>171</v>
      </c>
    </row>
    <row r="17" spans="1:21" ht="16" x14ac:dyDescent="0.2">
      <c r="A17" s="3" t="s">
        <v>264</v>
      </c>
      <c r="B17" s="3" t="s">
        <v>265</v>
      </c>
      <c r="C17" s="3" t="s">
        <v>266</v>
      </c>
      <c r="D17" s="3" t="s">
        <v>175</v>
      </c>
      <c r="E17" s="3" t="s">
        <v>176</v>
      </c>
      <c r="F17" s="3" t="s">
        <v>177</v>
      </c>
      <c r="G17" s="3" t="s">
        <v>202</v>
      </c>
      <c r="H17" s="3" t="s">
        <v>267</v>
      </c>
      <c r="I17" s="4">
        <v>8092596048</v>
      </c>
      <c r="J17" s="3" t="s">
        <v>268</v>
      </c>
      <c r="K17" t="b">
        <v>1</v>
      </c>
      <c r="L17" s="5">
        <v>44253</v>
      </c>
      <c r="M17" s="3" t="s">
        <v>181</v>
      </c>
      <c r="N17" s="3" t="s">
        <v>182</v>
      </c>
      <c r="O17" s="6">
        <v>44253.485462962963</v>
      </c>
      <c r="P17" s="6">
        <v>44253.485462962963</v>
      </c>
      <c r="Q17" s="3" t="s">
        <v>183</v>
      </c>
      <c r="R17" s="3" t="s">
        <v>183</v>
      </c>
      <c r="S17" s="7" t="s">
        <v>185</v>
      </c>
      <c r="T17" s="3" t="s">
        <v>170</v>
      </c>
      <c r="U17" s="3" t="s">
        <v>171</v>
      </c>
    </row>
    <row r="18" spans="1:21" ht="16" x14ac:dyDescent="0.2">
      <c r="A18" s="3" t="s">
        <v>269</v>
      </c>
      <c r="B18" s="3" t="s">
        <v>270</v>
      </c>
      <c r="C18" s="3" t="s">
        <v>174</v>
      </c>
      <c r="D18" s="3" t="s">
        <v>160</v>
      </c>
      <c r="E18" s="3" t="s">
        <v>201</v>
      </c>
      <c r="F18" s="3" t="s">
        <v>160</v>
      </c>
      <c r="G18" s="3" t="s">
        <v>202</v>
      </c>
      <c r="H18" s="3" t="s">
        <v>271</v>
      </c>
      <c r="I18" s="4">
        <v>8295876352</v>
      </c>
      <c r="J18" s="3" t="s">
        <v>272</v>
      </c>
      <c r="K18" t="b">
        <v>1</v>
      </c>
      <c r="L18" s="5">
        <v>44253</v>
      </c>
      <c r="M18" s="3" t="s">
        <v>181</v>
      </c>
      <c r="N18" s="3" t="s">
        <v>182</v>
      </c>
      <c r="O18" s="6">
        <v>44253.485474537039</v>
      </c>
      <c r="P18" s="6">
        <v>44253.485474537039</v>
      </c>
      <c r="Q18" s="3" t="s">
        <v>183</v>
      </c>
      <c r="R18" s="3" t="s">
        <v>183</v>
      </c>
      <c r="S18" s="7" t="s">
        <v>185</v>
      </c>
      <c r="T18" s="3" t="s">
        <v>170</v>
      </c>
      <c r="U18" s="3" t="s">
        <v>171</v>
      </c>
    </row>
    <row r="19" spans="1:21" ht="16" x14ac:dyDescent="0.2">
      <c r="A19" s="3" t="s">
        <v>273</v>
      </c>
      <c r="B19" s="3" t="s">
        <v>274</v>
      </c>
      <c r="C19" s="3" t="s">
        <v>275</v>
      </c>
      <c r="D19" s="3" t="s">
        <v>175</v>
      </c>
      <c r="E19" s="3" t="s">
        <v>176</v>
      </c>
      <c r="F19" s="3" t="s">
        <v>177</v>
      </c>
      <c r="G19" s="3" t="s">
        <v>276</v>
      </c>
      <c r="H19" s="3" t="s">
        <v>277</v>
      </c>
      <c r="I19" s="4">
        <v>8098682293</v>
      </c>
      <c r="J19" s="3" t="s">
        <v>278</v>
      </c>
      <c r="K19" t="b">
        <v>1</v>
      </c>
      <c r="L19" s="5">
        <v>44253</v>
      </c>
      <c r="M19" s="3" t="s">
        <v>181</v>
      </c>
      <c r="N19" s="3" t="s">
        <v>182</v>
      </c>
      <c r="O19" s="6">
        <v>44253.485509259262</v>
      </c>
      <c r="P19" s="6">
        <v>44253.485509259262</v>
      </c>
      <c r="Q19" s="3" t="s">
        <v>183</v>
      </c>
      <c r="R19" s="3" t="s">
        <v>183</v>
      </c>
      <c r="S19" s="7" t="s">
        <v>185</v>
      </c>
      <c r="T19" s="3" t="s">
        <v>170</v>
      </c>
      <c r="U19" s="3" t="s">
        <v>171</v>
      </c>
    </row>
    <row r="20" spans="1:21" ht="16" x14ac:dyDescent="0.2">
      <c r="A20" s="3" t="s">
        <v>279</v>
      </c>
      <c r="B20" s="3" t="s">
        <v>280</v>
      </c>
      <c r="C20" s="3" t="s">
        <v>281</v>
      </c>
      <c r="D20" s="3" t="s">
        <v>175</v>
      </c>
      <c r="E20" s="3" t="s">
        <v>282</v>
      </c>
      <c r="F20" s="3" t="s">
        <v>177</v>
      </c>
      <c r="G20" s="3" t="s">
        <v>283</v>
      </c>
      <c r="H20" s="3" t="s">
        <v>284</v>
      </c>
      <c r="I20" s="4">
        <v>8092322449</v>
      </c>
      <c r="J20" s="3" t="s">
        <v>285</v>
      </c>
      <c r="K20" t="b">
        <v>1</v>
      </c>
      <c r="L20" s="5">
        <v>44253</v>
      </c>
      <c r="M20" s="3" t="s">
        <v>181</v>
      </c>
      <c r="N20" s="3" t="s">
        <v>182</v>
      </c>
      <c r="O20" s="6">
        <v>44253.485532407409</v>
      </c>
      <c r="P20" s="6">
        <v>44253.485532407409</v>
      </c>
      <c r="Q20" s="3" t="s">
        <v>183</v>
      </c>
      <c r="R20" s="3" t="s">
        <v>183</v>
      </c>
      <c r="S20" s="7" t="s">
        <v>185</v>
      </c>
      <c r="T20" s="3" t="s">
        <v>170</v>
      </c>
      <c r="U20" s="3" t="s">
        <v>171</v>
      </c>
    </row>
    <row r="21" spans="1:21" ht="16" x14ac:dyDescent="0.2">
      <c r="A21" s="3" t="s">
        <v>286</v>
      </c>
      <c r="B21" s="3" t="s">
        <v>287</v>
      </c>
      <c r="C21" s="3" t="s">
        <v>288</v>
      </c>
      <c r="D21" s="3" t="s">
        <v>160</v>
      </c>
      <c r="E21" s="3" t="s">
        <v>201</v>
      </c>
      <c r="F21" s="3" t="s">
        <v>160</v>
      </c>
      <c r="G21" s="3" t="s">
        <v>202</v>
      </c>
      <c r="H21" s="3" t="s">
        <v>289</v>
      </c>
      <c r="I21" s="4">
        <v>8293050811</v>
      </c>
      <c r="J21" s="3" t="s">
        <v>290</v>
      </c>
      <c r="K21" t="b">
        <v>1</v>
      </c>
      <c r="L21" s="5">
        <v>44253</v>
      </c>
      <c r="M21" s="3" t="s">
        <v>181</v>
      </c>
      <c r="N21" s="3" t="s">
        <v>182</v>
      </c>
      <c r="O21" s="6">
        <v>44253.485543981478</v>
      </c>
      <c r="P21" s="6">
        <v>44253.485543981478</v>
      </c>
      <c r="Q21" s="3" t="s">
        <v>183</v>
      </c>
      <c r="R21" s="3" t="s">
        <v>183</v>
      </c>
      <c r="S21" s="7" t="s">
        <v>185</v>
      </c>
      <c r="T21" s="3" t="s">
        <v>170</v>
      </c>
      <c r="U21" s="3" t="s">
        <v>171</v>
      </c>
    </row>
    <row r="22" spans="1:21" ht="16" x14ac:dyDescent="0.2">
      <c r="A22" s="3" t="s">
        <v>291</v>
      </c>
      <c r="B22" s="3" t="s">
        <v>292</v>
      </c>
      <c r="C22" s="3" t="s">
        <v>293</v>
      </c>
      <c r="D22" s="3" t="s">
        <v>160</v>
      </c>
      <c r="E22" s="3" t="s">
        <v>201</v>
      </c>
      <c r="F22" s="3" t="s">
        <v>160</v>
      </c>
      <c r="G22" s="3" t="s">
        <v>202</v>
      </c>
      <c r="H22" s="3" t="s">
        <v>294</v>
      </c>
      <c r="I22" s="4">
        <v>8299691247</v>
      </c>
      <c r="J22" s="3" t="s">
        <v>295</v>
      </c>
      <c r="K22" t="b">
        <v>1</v>
      </c>
      <c r="L22" s="5">
        <v>44253</v>
      </c>
      <c r="M22" s="3" t="s">
        <v>181</v>
      </c>
      <c r="N22" s="3" t="s">
        <v>182</v>
      </c>
      <c r="O22" s="6">
        <v>44253.485567129632</v>
      </c>
      <c r="P22" s="6">
        <v>44253.485567129632</v>
      </c>
      <c r="Q22" s="3" t="s">
        <v>183</v>
      </c>
      <c r="R22" s="3" t="s">
        <v>183</v>
      </c>
      <c r="S22" s="7" t="s">
        <v>185</v>
      </c>
      <c r="T22" s="3" t="s">
        <v>170</v>
      </c>
      <c r="U22" s="3" t="s">
        <v>171</v>
      </c>
    </row>
    <row r="23" spans="1:21" ht="16" x14ac:dyDescent="0.2">
      <c r="A23" s="3" t="s">
        <v>296</v>
      </c>
      <c r="B23" s="3" t="s">
        <v>297</v>
      </c>
      <c r="C23" s="3" t="s">
        <v>298</v>
      </c>
      <c r="D23" s="3" t="s">
        <v>175</v>
      </c>
      <c r="E23" s="3" t="s">
        <v>176</v>
      </c>
      <c r="F23" s="3" t="s">
        <v>177</v>
      </c>
      <c r="G23" s="3" t="s">
        <v>299</v>
      </c>
      <c r="H23" s="3" t="s">
        <v>300</v>
      </c>
      <c r="I23" s="4">
        <v>8093067023</v>
      </c>
      <c r="J23" s="3" t="s">
        <v>301</v>
      </c>
      <c r="K23" t="b">
        <v>1</v>
      </c>
      <c r="L23" s="5">
        <v>44447</v>
      </c>
      <c r="M23" s="3" t="s">
        <v>181</v>
      </c>
      <c r="N23" s="3" t="s">
        <v>182</v>
      </c>
      <c r="O23" s="6">
        <v>44447.586261574077</v>
      </c>
      <c r="P23" s="6">
        <v>44253.485578703701</v>
      </c>
      <c r="Q23" s="3" t="s">
        <v>183</v>
      </c>
      <c r="R23" s="3" t="s">
        <v>184</v>
      </c>
      <c r="S23" s="7" t="s">
        <v>185</v>
      </c>
      <c r="T23" s="3" t="s">
        <v>170</v>
      </c>
      <c r="U23" s="3" t="s">
        <v>171</v>
      </c>
    </row>
    <row r="24" spans="1:21" ht="16" x14ac:dyDescent="0.2">
      <c r="A24" s="3" t="s">
        <v>302</v>
      </c>
      <c r="B24" s="3" t="s">
        <v>303</v>
      </c>
      <c r="C24" s="3" t="s">
        <v>159</v>
      </c>
      <c r="D24" s="3" t="s">
        <v>175</v>
      </c>
      <c r="E24" s="3" t="s">
        <v>282</v>
      </c>
      <c r="F24" s="3" t="s">
        <v>177</v>
      </c>
      <c r="G24" s="3" t="s">
        <v>304</v>
      </c>
      <c r="H24" s="3" t="s">
        <v>305</v>
      </c>
      <c r="I24" s="4">
        <v>8295635385</v>
      </c>
      <c r="J24" s="3" t="s">
        <v>306</v>
      </c>
      <c r="K24" t="b">
        <v>1</v>
      </c>
      <c r="L24" s="5">
        <v>44253</v>
      </c>
      <c r="M24" s="3" t="s">
        <v>181</v>
      </c>
      <c r="N24" s="3" t="s">
        <v>182</v>
      </c>
      <c r="O24" s="6">
        <v>44253.485613425924</v>
      </c>
      <c r="P24" s="6">
        <v>44253.485613425924</v>
      </c>
      <c r="Q24" s="3" t="s">
        <v>183</v>
      </c>
      <c r="R24" s="3" t="s">
        <v>183</v>
      </c>
      <c r="S24" s="7" t="s">
        <v>185</v>
      </c>
      <c r="T24" s="3" t="s">
        <v>170</v>
      </c>
      <c r="U24" s="3" t="s">
        <v>171</v>
      </c>
    </row>
    <row r="25" spans="1:21" ht="16" x14ac:dyDescent="0.2">
      <c r="A25" s="3" t="s">
        <v>307</v>
      </c>
      <c r="B25" s="3" t="s">
        <v>308</v>
      </c>
      <c r="C25" s="3" t="s">
        <v>309</v>
      </c>
      <c r="D25" s="3" t="s">
        <v>175</v>
      </c>
      <c r="E25" s="3" t="s">
        <v>176</v>
      </c>
      <c r="F25" s="3" t="s">
        <v>177</v>
      </c>
      <c r="G25" s="3" t="s">
        <v>310</v>
      </c>
      <c r="H25" s="3" t="s">
        <v>311</v>
      </c>
      <c r="I25" s="4">
        <v>8097023072</v>
      </c>
      <c r="J25" s="3" t="s">
        <v>312</v>
      </c>
      <c r="K25" t="b">
        <v>1</v>
      </c>
      <c r="L25" s="5">
        <v>44253</v>
      </c>
      <c r="M25" s="3" t="s">
        <v>181</v>
      </c>
      <c r="N25" s="3" t="s">
        <v>182</v>
      </c>
      <c r="O25" s="6">
        <v>44253.485636574071</v>
      </c>
      <c r="P25" s="6">
        <v>44253.485636574071</v>
      </c>
      <c r="Q25" s="3" t="s">
        <v>183</v>
      </c>
      <c r="R25" s="3" t="s">
        <v>183</v>
      </c>
      <c r="S25" s="7" t="s">
        <v>185</v>
      </c>
      <c r="T25" s="3" t="s">
        <v>170</v>
      </c>
      <c r="U25" s="3" t="s">
        <v>171</v>
      </c>
    </row>
    <row r="26" spans="1:21" ht="16" x14ac:dyDescent="0.2">
      <c r="A26" s="3" t="s">
        <v>313</v>
      </c>
      <c r="B26" s="3" t="s">
        <v>314</v>
      </c>
      <c r="C26" s="3" t="s">
        <v>315</v>
      </c>
      <c r="D26" s="3" t="s">
        <v>175</v>
      </c>
      <c r="E26" s="3" t="s">
        <v>282</v>
      </c>
      <c r="F26" s="3" t="s">
        <v>177</v>
      </c>
      <c r="G26" s="3" t="s">
        <v>316</v>
      </c>
      <c r="H26" s="3" t="s">
        <v>317</v>
      </c>
      <c r="I26" s="4">
        <v>8292640251</v>
      </c>
      <c r="J26" s="3" t="s">
        <v>318</v>
      </c>
      <c r="K26" t="b">
        <v>1</v>
      </c>
      <c r="L26" s="5">
        <v>44253</v>
      </c>
      <c r="M26" s="3" t="s">
        <v>181</v>
      </c>
      <c r="N26" s="3" t="s">
        <v>182</v>
      </c>
      <c r="O26" s="6">
        <v>44253.485659722224</v>
      </c>
      <c r="P26" s="6">
        <v>44253.485659722224</v>
      </c>
      <c r="Q26" s="3" t="s">
        <v>183</v>
      </c>
      <c r="R26" s="3" t="s">
        <v>183</v>
      </c>
      <c r="S26" s="7" t="s">
        <v>185</v>
      </c>
      <c r="T26" s="3" t="s">
        <v>170</v>
      </c>
      <c r="U26" s="3" t="s">
        <v>171</v>
      </c>
    </row>
    <row r="27" spans="1:21" ht="16" x14ac:dyDescent="0.2">
      <c r="A27" s="3" t="s">
        <v>319</v>
      </c>
      <c r="B27" s="3" t="s">
        <v>320</v>
      </c>
      <c r="C27" s="3" t="s">
        <v>321</v>
      </c>
      <c r="D27" s="3" t="s">
        <v>160</v>
      </c>
      <c r="E27" s="3" t="s">
        <v>201</v>
      </c>
      <c r="F27" s="3" t="s">
        <v>160</v>
      </c>
      <c r="G27" s="3" t="s">
        <v>202</v>
      </c>
      <c r="H27" s="3" t="s">
        <v>322</v>
      </c>
      <c r="I27" s="4">
        <v>8297529068</v>
      </c>
      <c r="J27" s="3" t="s">
        <v>323</v>
      </c>
      <c r="K27" t="b">
        <v>1</v>
      </c>
      <c r="L27" s="5">
        <v>44253</v>
      </c>
      <c r="M27" s="3" t="s">
        <v>181</v>
      </c>
      <c r="N27" s="3" t="s">
        <v>182</v>
      </c>
      <c r="O27" s="6">
        <v>44253.485671296294</v>
      </c>
      <c r="P27" s="6">
        <v>44253.485671296294</v>
      </c>
      <c r="Q27" s="3" t="s">
        <v>183</v>
      </c>
      <c r="R27" s="3" t="s">
        <v>183</v>
      </c>
      <c r="S27" s="7" t="s">
        <v>185</v>
      </c>
      <c r="T27" s="3" t="s">
        <v>170</v>
      </c>
      <c r="U27" s="3" t="s">
        <v>171</v>
      </c>
    </row>
    <row r="28" spans="1:21" ht="16" x14ac:dyDescent="0.2">
      <c r="A28" s="3" t="s">
        <v>324</v>
      </c>
      <c r="B28" s="3" t="s">
        <v>325</v>
      </c>
      <c r="C28" s="3" t="s">
        <v>326</v>
      </c>
      <c r="D28" s="3" t="s">
        <v>175</v>
      </c>
      <c r="E28" s="3" t="s">
        <v>282</v>
      </c>
      <c r="F28" s="3" t="s">
        <v>177</v>
      </c>
      <c r="G28" s="3" t="s">
        <v>327</v>
      </c>
      <c r="H28" s="3" t="s">
        <v>328</v>
      </c>
      <c r="I28" s="4">
        <v>8294748746</v>
      </c>
      <c r="J28" s="3" t="s">
        <v>329</v>
      </c>
      <c r="K28" t="b">
        <v>0</v>
      </c>
      <c r="L28" s="5">
        <v>44434</v>
      </c>
      <c r="M28" s="3" t="s">
        <v>181</v>
      </c>
      <c r="N28" s="3" t="s">
        <v>182</v>
      </c>
      <c r="O28" s="6">
        <v>44434.356226851851</v>
      </c>
      <c r="P28" s="6">
        <v>44253.485694444447</v>
      </c>
      <c r="Q28" s="3" t="s">
        <v>183</v>
      </c>
      <c r="R28" s="3" t="s">
        <v>184</v>
      </c>
      <c r="S28" s="7" t="s">
        <v>185</v>
      </c>
      <c r="T28" s="3" t="s">
        <v>170</v>
      </c>
      <c r="U28" s="3" t="s">
        <v>171</v>
      </c>
    </row>
    <row r="29" spans="1:21" ht="16" x14ac:dyDescent="0.2">
      <c r="A29" s="3" t="s">
        <v>330</v>
      </c>
      <c r="B29" s="3" t="s">
        <v>331</v>
      </c>
      <c r="C29" s="3" t="s">
        <v>332</v>
      </c>
      <c r="D29" s="3" t="s">
        <v>160</v>
      </c>
      <c r="E29" s="3" t="s">
        <v>201</v>
      </c>
      <c r="F29" s="3" t="s">
        <v>160</v>
      </c>
      <c r="G29" s="3" t="s">
        <v>202</v>
      </c>
      <c r="H29" s="3" t="s">
        <v>333</v>
      </c>
      <c r="I29" s="4">
        <v>8296367776</v>
      </c>
      <c r="J29" s="3" t="s">
        <v>334</v>
      </c>
      <c r="K29" t="b">
        <v>1</v>
      </c>
      <c r="L29" s="5">
        <v>44253</v>
      </c>
      <c r="M29" s="3" t="s">
        <v>181</v>
      </c>
      <c r="N29" s="3" t="s">
        <v>182</v>
      </c>
      <c r="O29" s="6">
        <v>44253.485717592594</v>
      </c>
      <c r="P29" s="6">
        <v>44253.485717592594</v>
      </c>
      <c r="Q29" s="3" t="s">
        <v>183</v>
      </c>
      <c r="R29" s="3" t="s">
        <v>183</v>
      </c>
      <c r="S29" s="7" t="s">
        <v>185</v>
      </c>
      <c r="T29" s="3" t="s">
        <v>170</v>
      </c>
      <c r="U29" s="3" t="s">
        <v>171</v>
      </c>
    </row>
    <row r="30" spans="1:21" ht="16" x14ac:dyDescent="0.2">
      <c r="A30" s="3" t="s">
        <v>335</v>
      </c>
      <c r="B30" s="3" t="s">
        <v>336</v>
      </c>
      <c r="C30" s="3" t="s">
        <v>337</v>
      </c>
      <c r="D30" s="3" t="s">
        <v>160</v>
      </c>
      <c r="E30" s="3" t="s">
        <v>201</v>
      </c>
      <c r="F30" s="3" t="s">
        <v>160</v>
      </c>
      <c r="G30" s="3" t="s">
        <v>202</v>
      </c>
      <c r="H30" s="3" t="s">
        <v>338</v>
      </c>
      <c r="I30" s="4">
        <v>8094063005</v>
      </c>
      <c r="J30" s="3" t="s">
        <v>339</v>
      </c>
      <c r="K30" t="b">
        <v>1</v>
      </c>
      <c r="L30" s="5">
        <v>44253</v>
      </c>
      <c r="M30" s="3" t="s">
        <v>181</v>
      </c>
      <c r="N30" s="3" t="s">
        <v>182</v>
      </c>
      <c r="O30" s="6">
        <v>44253.48574074074</v>
      </c>
      <c r="P30" s="6">
        <v>44253.48574074074</v>
      </c>
      <c r="Q30" s="3" t="s">
        <v>183</v>
      </c>
      <c r="R30" s="3" t="s">
        <v>183</v>
      </c>
      <c r="S30" s="7" t="s">
        <v>185</v>
      </c>
      <c r="T30" s="3" t="s">
        <v>170</v>
      </c>
      <c r="U30" s="3" t="s">
        <v>171</v>
      </c>
    </row>
    <row r="31" spans="1:21" ht="16" x14ac:dyDescent="0.2">
      <c r="A31" s="3" t="s">
        <v>340</v>
      </c>
      <c r="B31" s="3" t="s">
        <v>341</v>
      </c>
      <c r="C31" s="3" t="s">
        <v>342</v>
      </c>
      <c r="D31" s="3" t="s">
        <v>160</v>
      </c>
      <c r="E31" s="3" t="s">
        <v>201</v>
      </c>
      <c r="F31" s="3" t="s">
        <v>160</v>
      </c>
      <c r="G31" s="3" t="s">
        <v>202</v>
      </c>
      <c r="H31" s="3" t="s">
        <v>343</v>
      </c>
      <c r="I31" s="4">
        <v>8094362800</v>
      </c>
      <c r="J31" s="3" t="s">
        <v>344</v>
      </c>
      <c r="K31" t="b">
        <v>1</v>
      </c>
      <c r="L31" s="5">
        <v>44253</v>
      </c>
      <c r="M31" s="3" t="s">
        <v>181</v>
      </c>
      <c r="N31" s="3" t="s">
        <v>182</v>
      </c>
      <c r="O31" s="6">
        <v>44253.48574074074</v>
      </c>
      <c r="P31" s="6">
        <v>44253.48574074074</v>
      </c>
      <c r="Q31" s="3" t="s">
        <v>183</v>
      </c>
      <c r="R31" s="3" t="s">
        <v>183</v>
      </c>
      <c r="S31" s="7" t="s">
        <v>185</v>
      </c>
      <c r="T31" s="3" t="s">
        <v>170</v>
      </c>
      <c r="U31" s="3" t="s">
        <v>171</v>
      </c>
    </row>
    <row r="32" spans="1:21" ht="16" x14ac:dyDescent="0.2">
      <c r="A32" s="3" t="s">
        <v>345</v>
      </c>
      <c r="B32" s="3" t="s">
        <v>346</v>
      </c>
      <c r="C32" s="3" t="s">
        <v>347</v>
      </c>
      <c r="D32" s="3" t="s">
        <v>175</v>
      </c>
      <c r="E32" s="3" t="s">
        <v>161</v>
      </c>
      <c r="F32" s="3" t="s">
        <v>177</v>
      </c>
      <c r="G32" s="3" t="s">
        <v>348</v>
      </c>
      <c r="H32" s="3" t="s">
        <v>349</v>
      </c>
      <c r="I32" s="4">
        <v>8099804615</v>
      </c>
      <c r="J32" s="3" t="s">
        <v>350</v>
      </c>
      <c r="K32" t="b">
        <v>1</v>
      </c>
      <c r="L32" s="5">
        <v>44253</v>
      </c>
      <c r="M32" s="3" t="s">
        <v>181</v>
      </c>
      <c r="N32" s="3" t="s">
        <v>182</v>
      </c>
      <c r="O32" s="6">
        <v>44253.485763888886</v>
      </c>
      <c r="P32" s="6">
        <v>44253.485763888886</v>
      </c>
      <c r="Q32" s="3" t="s">
        <v>183</v>
      </c>
      <c r="R32" s="3" t="s">
        <v>183</v>
      </c>
      <c r="S32" s="7" t="s">
        <v>185</v>
      </c>
      <c r="T32" s="3" t="s">
        <v>170</v>
      </c>
      <c r="U32" s="3" t="s">
        <v>171</v>
      </c>
    </row>
    <row r="33" spans="1:21" ht="16" x14ac:dyDescent="0.2">
      <c r="A33" s="3" t="s">
        <v>351</v>
      </c>
      <c r="B33" s="3" t="s">
        <v>352</v>
      </c>
      <c r="C33" s="3" t="s">
        <v>353</v>
      </c>
      <c r="D33" s="3" t="s">
        <v>175</v>
      </c>
      <c r="E33" s="3" t="s">
        <v>176</v>
      </c>
      <c r="F33" s="3" t="s">
        <v>177</v>
      </c>
      <c r="G33" s="3" t="s">
        <v>354</v>
      </c>
      <c r="H33" s="3" t="s">
        <v>355</v>
      </c>
      <c r="I33" s="4">
        <v>8297223218</v>
      </c>
      <c r="J33" s="3" t="s">
        <v>356</v>
      </c>
      <c r="K33" t="b">
        <v>1</v>
      </c>
      <c r="L33" s="5">
        <v>44253</v>
      </c>
      <c r="M33" s="3" t="s">
        <v>181</v>
      </c>
      <c r="N33" s="3" t="s">
        <v>182</v>
      </c>
      <c r="O33" s="6">
        <v>44253.485775462963</v>
      </c>
      <c r="P33" s="6">
        <v>44253.485775462963</v>
      </c>
      <c r="Q33" s="3" t="s">
        <v>183</v>
      </c>
      <c r="R33" s="3" t="s">
        <v>183</v>
      </c>
      <c r="S33" s="7" t="s">
        <v>185</v>
      </c>
      <c r="T33" s="3" t="s">
        <v>170</v>
      </c>
      <c r="U33" s="3" t="s">
        <v>171</v>
      </c>
    </row>
    <row r="34" spans="1:21" ht="16" x14ac:dyDescent="0.2">
      <c r="A34" s="3" t="s">
        <v>357</v>
      </c>
      <c r="B34" s="3" t="s">
        <v>358</v>
      </c>
      <c r="C34" s="3" t="s">
        <v>359</v>
      </c>
      <c r="D34" s="3" t="s">
        <v>175</v>
      </c>
      <c r="E34" s="3" t="s">
        <v>176</v>
      </c>
      <c r="F34" s="3" t="s">
        <v>177</v>
      </c>
      <c r="G34" s="3" t="s">
        <v>360</v>
      </c>
      <c r="H34" s="3" t="s">
        <v>361</v>
      </c>
      <c r="I34" s="4">
        <v>8492549261</v>
      </c>
      <c r="J34" s="3" t="s">
        <v>362</v>
      </c>
      <c r="K34" t="b">
        <v>1</v>
      </c>
      <c r="L34" s="5">
        <v>44253</v>
      </c>
      <c r="M34" s="3" t="s">
        <v>181</v>
      </c>
      <c r="N34" s="3" t="s">
        <v>182</v>
      </c>
      <c r="O34" s="6">
        <v>44253.485798611109</v>
      </c>
      <c r="P34" s="6">
        <v>44253.485798611109</v>
      </c>
      <c r="Q34" s="3" t="s">
        <v>183</v>
      </c>
      <c r="R34" s="3" t="s">
        <v>183</v>
      </c>
      <c r="S34" s="7" t="s">
        <v>185</v>
      </c>
      <c r="T34" s="3" t="s">
        <v>170</v>
      </c>
      <c r="U34" s="3" t="s">
        <v>171</v>
      </c>
    </row>
    <row r="35" spans="1:21" ht="16" x14ac:dyDescent="0.2">
      <c r="A35" s="3" t="s">
        <v>363</v>
      </c>
      <c r="B35" s="3" t="s">
        <v>364</v>
      </c>
      <c r="C35" s="3" t="s">
        <v>365</v>
      </c>
      <c r="D35" s="3" t="s">
        <v>175</v>
      </c>
      <c r="E35" s="3" t="s">
        <v>176</v>
      </c>
      <c r="F35" s="3" t="s">
        <v>177</v>
      </c>
      <c r="G35" s="3" t="s">
        <v>366</v>
      </c>
      <c r="H35" s="3" t="s">
        <v>367</v>
      </c>
      <c r="I35" s="4">
        <v>8097588721</v>
      </c>
      <c r="J35" s="3" t="s">
        <v>368</v>
      </c>
      <c r="K35" t="b">
        <v>1</v>
      </c>
      <c r="L35" s="5">
        <v>44253</v>
      </c>
      <c r="M35" s="3" t="s">
        <v>181</v>
      </c>
      <c r="N35" s="3" t="s">
        <v>182</v>
      </c>
      <c r="O35" s="6">
        <v>44253.485798611109</v>
      </c>
      <c r="P35" s="6">
        <v>44253.485798611109</v>
      </c>
      <c r="Q35" s="3" t="s">
        <v>183</v>
      </c>
      <c r="R35" s="3" t="s">
        <v>183</v>
      </c>
      <c r="S35" s="7" t="s">
        <v>185</v>
      </c>
      <c r="T35" s="3" t="s">
        <v>170</v>
      </c>
      <c r="U35" s="3" t="s">
        <v>171</v>
      </c>
    </row>
    <row r="36" spans="1:21" ht="16" x14ac:dyDescent="0.2">
      <c r="A36" s="3" t="s">
        <v>369</v>
      </c>
      <c r="B36" s="3" t="s">
        <v>370</v>
      </c>
      <c r="C36" s="3" t="s">
        <v>371</v>
      </c>
      <c r="D36" s="3" t="s">
        <v>160</v>
      </c>
      <c r="E36" s="3" t="s">
        <v>201</v>
      </c>
      <c r="F36" s="3" t="s">
        <v>160</v>
      </c>
      <c r="G36" s="3" t="s">
        <v>202</v>
      </c>
      <c r="H36" s="3" t="s">
        <v>372</v>
      </c>
      <c r="I36" s="4">
        <v>8096746157</v>
      </c>
      <c r="J36" s="3" t="s">
        <v>373</v>
      </c>
      <c r="K36" t="b">
        <v>1</v>
      </c>
      <c r="L36" s="5">
        <v>44253</v>
      </c>
      <c r="M36" s="3" t="s">
        <v>181</v>
      </c>
      <c r="N36" s="3" t="s">
        <v>182</v>
      </c>
      <c r="O36" s="6">
        <v>44253.485821759263</v>
      </c>
      <c r="P36" s="6">
        <v>44253.485821759263</v>
      </c>
      <c r="Q36" s="3" t="s">
        <v>183</v>
      </c>
      <c r="R36" s="3" t="s">
        <v>183</v>
      </c>
      <c r="S36" s="7" t="s">
        <v>185</v>
      </c>
      <c r="T36" s="3" t="s">
        <v>170</v>
      </c>
      <c r="U36" s="3" t="s">
        <v>171</v>
      </c>
    </row>
    <row r="37" spans="1:21" ht="16" x14ac:dyDescent="0.2">
      <c r="A37" s="3" t="s">
        <v>374</v>
      </c>
      <c r="B37" s="3" t="s">
        <v>375</v>
      </c>
      <c r="C37" s="3" t="s">
        <v>376</v>
      </c>
      <c r="D37" s="3" t="s">
        <v>175</v>
      </c>
      <c r="E37" s="3" t="s">
        <v>176</v>
      </c>
      <c r="F37" s="3" t="s">
        <v>177</v>
      </c>
      <c r="G37" s="3" t="s">
        <v>377</v>
      </c>
      <c r="H37" s="3" t="s">
        <v>378</v>
      </c>
      <c r="I37" s="4">
        <v>8296606855</v>
      </c>
      <c r="J37" s="3" t="s">
        <v>379</v>
      </c>
      <c r="K37" t="b">
        <v>1</v>
      </c>
      <c r="L37" s="5">
        <v>44253</v>
      </c>
      <c r="M37" s="3" t="s">
        <v>181</v>
      </c>
      <c r="N37" s="3" t="s">
        <v>182</v>
      </c>
      <c r="O37" s="6">
        <v>44253.485833333332</v>
      </c>
      <c r="P37" s="6">
        <v>44253.485833333332</v>
      </c>
      <c r="Q37" s="3" t="s">
        <v>183</v>
      </c>
      <c r="R37" s="3" t="s">
        <v>183</v>
      </c>
      <c r="S37" s="7" t="s">
        <v>185</v>
      </c>
      <c r="T37" s="3" t="s">
        <v>170</v>
      </c>
      <c r="U37" s="3" t="s">
        <v>171</v>
      </c>
    </row>
    <row r="38" spans="1:21" ht="16" x14ac:dyDescent="0.2">
      <c r="A38" s="3" t="s">
        <v>380</v>
      </c>
      <c r="B38" s="3" t="s">
        <v>381</v>
      </c>
      <c r="C38" s="3" t="s">
        <v>382</v>
      </c>
      <c r="D38" s="3" t="s">
        <v>175</v>
      </c>
      <c r="E38" s="3" t="s">
        <v>176</v>
      </c>
      <c r="F38" s="3" t="s">
        <v>177</v>
      </c>
      <c r="G38" s="3" t="s">
        <v>383</v>
      </c>
      <c r="H38" s="3" t="s">
        <v>384</v>
      </c>
      <c r="I38" s="4">
        <v>8293363427</v>
      </c>
      <c r="J38" s="3" t="s">
        <v>385</v>
      </c>
      <c r="K38" t="b">
        <v>1</v>
      </c>
      <c r="L38" s="5">
        <v>44253</v>
      </c>
      <c r="M38" s="3" t="s">
        <v>181</v>
      </c>
      <c r="N38" s="3" t="s">
        <v>386</v>
      </c>
      <c r="O38" s="6">
        <v>44253.485856481479</v>
      </c>
      <c r="P38" s="6">
        <v>44253.485856481479</v>
      </c>
      <c r="Q38" s="3" t="s">
        <v>183</v>
      </c>
      <c r="R38" s="3" t="s">
        <v>183</v>
      </c>
      <c r="S38" s="7" t="s">
        <v>185</v>
      </c>
      <c r="T38" s="3" t="s">
        <v>170</v>
      </c>
      <c r="U38" s="3" t="s">
        <v>171</v>
      </c>
    </row>
    <row r="39" spans="1:21" ht="16" x14ac:dyDescent="0.2">
      <c r="A39" s="3" t="s">
        <v>387</v>
      </c>
      <c r="B39" s="3" t="s">
        <v>388</v>
      </c>
      <c r="C39" s="3" t="s">
        <v>389</v>
      </c>
      <c r="D39" s="3" t="s">
        <v>175</v>
      </c>
      <c r="E39" s="3" t="s">
        <v>282</v>
      </c>
      <c r="F39" s="3" t="s">
        <v>177</v>
      </c>
      <c r="G39" s="3" t="s">
        <v>390</v>
      </c>
      <c r="H39" s="3" t="s">
        <v>391</v>
      </c>
      <c r="I39" s="4">
        <v>8496585170</v>
      </c>
      <c r="J39" s="3" t="s">
        <v>392</v>
      </c>
      <c r="K39" t="b">
        <v>1</v>
      </c>
      <c r="L39" s="5">
        <v>44253</v>
      </c>
      <c r="M39" s="3" t="s">
        <v>181</v>
      </c>
      <c r="N39" s="3" t="s">
        <v>393</v>
      </c>
      <c r="O39" s="6">
        <v>44253.485868055555</v>
      </c>
      <c r="P39" s="6">
        <v>44253.485868055555</v>
      </c>
      <c r="Q39" s="3" t="s">
        <v>183</v>
      </c>
      <c r="R39" s="3" t="s">
        <v>183</v>
      </c>
      <c r="S39" s="7" t="s">
        <v>185</v>
      </c>
      <c r="T39" s="3" t="s">
        <v>170</v>
      </c>
      <c r="U39" s="3" t="s">
        <v>171</v>
      </c>
    </row>
    <row r="40" spans="1:21" ht="16" x14ac:dyDescent="0.2">
      <c r="A40" s="3" t="s">
        <v>394</v>
      </c>
      <c r="B40" s="3" t="s">
        <v>395</v>
      </c>
      <c r="C40" s="3" t="s">
        <v>396</v>
      </c>
      <c r="D40" s="3" t="s">
        <v>175</v>
      </c>
      <c r="E40" s="3" t="s">
        <v>176</v>
      </c>
      <c r="F40" s="3" t="s">
        <v>177</v>
      </c>
      <c r="G40" s="3" t="s">
        <v>397</v>
      </c>
      <c r="H40" s="3" t="s">
        <v>398</v>
      </c>
      <c r="I40" s="4">
        <v>8293592889</v>
      </c>
      <c r="J40" s="3" t="s">
        <v>399</v>
      </c>
      <c r="K40" t="b">
        <v>1</v>
      </c>
      <c r="L40" s="5">
        <v>44253</v>
      </c>
      <c r="M40" s="3" t="s">
        <v>181</v>
      </c>
      <c r="N40" s="3" t="s">
        <v>393</v>
      </c>
      <c r="O40" s="6">
        <v>44253.485891203702</v>
      </c>
      <c r="P40" s="6">
        <v>44253.485891203702</v>
      </c>
      <c r="Q40" s="3" t="s">
        <v>183</v>
      </c>
      <c r="R40" s="3" t="s">
        <v>183</v>
      </c>
      <c r="S40" s="7" t="s">
        <v>185</v>
      </c>
      <c r="T40" s="3" t="s">
        <v>170</v>
      </c>
      <c r="U40" s="3" t="s">
        <v>171</v>
      </c>
    </row>
    <row r="41" spans="1:21" ht="16" x14ac:dyDescent="0.2">
      <c r="A41" s="3" t="s">
        <v>400</v>
      </c>
      <c r="B41" s="3" t="s">
        <v>401</v>
      </c>
      <c r="C41" s="3" t="s">
        <v>402</v>
      </c>
      <c r="D41" s="3" t="s">
        <v>175</v>
      </c>
      <c r="E41" s="3" t="s">
        <v>176</v>
      </c>
      <c r="F41" s="3" t="s">
        <v>177</v>
      </c>
      <c r="G41" s="3" t="s">
        <v>403</v>
      </c>
      <c r="H41" s="3" t="s">
        <v>404</v>
      </c>
      <c r="I41" s="4">
        <v>8097157272</v>
      </c>
      <c r="J41" s="3" t="s">
        <v>405</v>
      </c>
      <c r="K41" t="b">
        <v>1</v>
      </c>
      <c r="L41" s="5">
        <v>44253</v>
      </c>
      <c r="M41" s="3" t="s">
        <v>181</v>
      </c>
      <c r="N41" s="3" t="s">
        <v>393</v>
      </c>
      <c r="O41" s="6">
        <v>44253.485914351855</v>
      </c>
      <c r="P41" s="6">
        <v>44253.485914351855</v>
      </c>
      <c r="Q41" s="3" t="s">
        <v>183</v>
      </c>
      <c r="R41" s="3" t="s">
        <v>183</v>
      </c>
      <c r="S41" s="7" t="s">
        <v>185</v>
      </c>
      <c r="T41" s="3" t="s">
        <v>170</v>
      </c>
      <c r="U41" s="3" t="s">
        <v>171</v>
      </c>
    </row>
    <row r="42" spans="1:21" ht="16" x14ac:dyDescent="0.2">
      <c r="A42" s="3" t="s">
        <v>406</v>
      </c>
      <c r="B42" s="3" t="s">
        <v>407</v>
      </c>
      <c r="C42" s="3" t="s">
        <v>408</v>
      </c>
      <c r="D42" s="3" t="s">
        <v>175</v>
      </c>
      <c r="E42" s="3" t="s">
        <v>176</v>
      </c>
      <c r="F42" s="3" t="s">
        <v>177</v>
      </c>
      <c r="G42" s="3" t="s">
        <v>409</v>
      </c>
      <c r="H42" s="3" t="s">
        <v>410</v>
      </c>
      <c r="I42" s="4">
        <v>8292137523</v>
      </c>
      <c r="J42" s="3" t="s">
        <v>411</v>
      </c>
      <c r="K42" t="b">
        <v>1</v>
      </c>
      <c r="L42" s="5">
        <v>44253</v>
      </c>
      <c r="M42" s="3" t="s">
        <v>181</v>
      </c>
      <c r="N42" s="3" t="s">
        <v>393</v>
      </c>
      <c r="O42" s="6">
        <v>44253.485937500001</v>
      </c>
      <c r="P42" s="6">
        <v>44253.485937500001</v>
      </c>
      <c r="Q42" s="3" t="s">
        <v>183</v>
      </c>
      <c r="R42" s="3" t="s">
        <v>183</v>
      </c>
      <c r="S42" s="7" t="s">
        <v>185</v>
      </c>
      <c r="T42" s="3" t="s">
        <v>170</v>
      </c>
      <c r="U42" s="3" t="s">
        <v>171</v>
      </c>
    </row>
    <row r="43" spans="1:21" ht="16" x14ac:dyDescent="0.2">
      <c r="A43" s="3" t="s">
        <v>412</v>
      </c>
      <c r="B43" s="3" t="s">
        <v>413</v>
      </c>
      <c r="C43" s="3" t="s">
        <v>414</v>
      </c>
      <c r="D43" s="3" t="s">
        <v>160</v>
      </c>
      <c r="E43" s="3" t="s">
        <v>201</v>
      </c>
      <c r="F43" s="3" t="s">
        <v>160</v>
      </c>
      <c r="G43" s="3" t="s">
        <v>202</v>
      </c>
      <c r="H43" s="3" t="s">
        <v>415</v>
      </c>
      <c r="I43" s="4">
        <v>8294607330</v>
      </c>
      <c r="J43" s="3" t="s">
        <v>416</v>
      </c>
      <c r="K43" t="b">
        <v>1</v>
      </c>
      <c r="L43" s="5">
        <v>44253</v>
      </c>
      <c r="M43" s="3" t="s">
        <v>181</v>
      </c>
      <c r="N43" s="3" t="s">
        <v>393</v>
      </c>
      <c r="O43" s="6">
        <v>44253.485949074071</v>
      </c>
      <c r="P43" s="6">
        <v>44253.485949074071</v>
      </c>
      <c r="Q43" s="3" t="s">
        <v>183</v>
      </c>
      <c r="R43" s="3" t="s">
        <v>183</v>
      </c>
      <c r="S43" s="7" t="s">
        <v>185</v>
      </c>
      <c r="T43" s="3" t="s">
        <v>170</v>
      </c>
      <c r="U43" s="3" t="s">
        <v>171</v>
      </c>
    </row>
    <row r="44" spans="1:21" ht="16" x14ac:dyDescent="0.2">
      <c r="A44" s="3" t="s">
        <v>417</v>
      </c>
      <c r="B44" s="3" t="s">
        <v>418</v>
      </c>
      <c r="C44" s="3" t="s">
        <v>408</v>
      </c>
      <c r="D44" s="3" t="s">
        <v>175</v>
      </c>
      <c r="E44" s="3" t="s">
        <v>176</v>
      </c>
      <c r="F44" s="3" t="s">
        <v>177</v>
      </c>
      <c r="G44" s="3" t="s">
        <v>419</v>
      </c>
      <c r="H44" s="3" t="s">
        <v>420</v>
      </c>
      <c r="I44" s="4">
        <v>8097191524</v>
      </c>
      <c r="J44" s="3" t="s">
        <v>421</v>
      </c>
      <c r="K44" t="b">
        <v>1</v>
      </c>
      <c r="L44" s="5">
        <v>44502</v>
      </c>
      <c r="M44" s="3" t="s">
        <v>181</v>
      </c>
      <c r="N44" s="3" t="s">
        <v>393</v>
      </c>
      <c r="O44" s="6">
        <v>44502.342245370368</v>
      </c>
      <c r="P44" s="6">
        <v>44253.485960648148</v>
      </c>
      <c r="Q44" s="3" t="s">
        <v>183</v>
      </c>
      <c r="R44" s="3" t="s">
        <v>184</v>
      </c>
      <c r="S44" s="7" t="s">
        <v>185</v>
      </c>
      <c r="T44" s="3" t="s">
        <v>170</v>
      </c>
      <c r="U44" s="3" t="s">
        <v>171</v>
      </c>
    </row>
    <row r="45" spans="1:21" ht="16" x14ac:dyDescent="0.2">
      <c r="A45" s="3" t="s">
        <v>422</v>
      </c>
      <c r="B45" s="3" t="s">
        <v>423</v>
      </c>
      <c r="C45" s="3" t="s">
        <v>424</v>
      </c>
      <c r="D45" s="3" t="s">
        <v>175</v>
      </c>
      <c r="E45" s="3" t="s">
        <v>201</v>
      </c>
      <c r="F45" s="3" t="s">
        <v>177</v>
      </c>
      <c r="G45" s="3" t="s">
        <v>425</v>
      </c>
      <c r="H45" s="3" t="s">
        <v>426</v>
      </c>
      <c r="I45" s="4">
        <v>8099090584</v>
      </c>
      <c r="J45" s="3" t="s">
        <v>427</v>
      </c>
      <c r="K45" t="b">
        <v>1</v>
      </c>
      <c r="L45" s="5">
        <v>44253</v>
      </c>
      <c r="M45" s="3" t="s">
        <v>181</v>
      </c>
      <c r="N45" s="3" t="s">
        <v>393</v>
      </c>
      <c r="O45" s="6">
        <v>44253.485995370371</v>
      </c>
      <c r="P45" s="6">
        <v>44253.485995370371</v>
      </c>
      <c r="Q45" s="3" t="s">
        <v>183</v>
      </c>
      <c r="R45" s="3" t="s">
        <v>183</v>
      </c>
      <c r="S45" s="7" t="s">
        <v>185</v>
      </c>
      <c r="T45" s="3" t="s">
        <v>170</v>
      </c>
      <c r="U45" s="3" t="s">
        <v>171</v>
      </c>
    </row>
    <row r="46" spans="1:21" ht="16" x14ac:dyDescent="0.2">
      <c r="A46" s="3" t="s">
        <v>428</v>
      </c>
      <c r="B46" s="3" t="s">
        <v>429</v>
      </c>
      <c r="C46" s="3" t="s">
        <v>430</v>
      </c>
      <c r="D46" s="3" t="s">
        <v>175</v>
      </c>
      <c r="E46" s="3" t="s">
        <v>282</v>
      </c>
      <c r="F46" s="3" t="s">
        <v>177</v>
      </c>
      <c r="G46" s="3" t="s">
        <v>431</v>
      </c>
      <c r="H46" s="3" t="s">
        <v>432</v>
      </c>
      <c r="I46" s="4">
        <v>8098464322</v>
      </c>
      <c r="J46" s="3" t="s">
        <v>433</v>
      </c>
      <c r="K46" t="b">
        <v>1</v>
      </c>
      <c r="L46" s="5">
        <v>44253</v>
      </c>
      <c r="M46" s="3" t="s">
        <v>181</v>
      </c>
      <c r="N46" s="3" t="s">
        <v>393</v>
      </c>
      <c r="O46" s="6">
        <v>44253.486006944448</v>
      </c>
      <c r="P46" s="6">
        <v>44253.486006944448</v>
      </c>
      <c r="Q46" s="3" t="s">
        <v>183</v>
      </c>
      <c r="R46" s="3" t="s">
        <v>183</v>
      </c>
      <c r="S46" s="7" t="s">
        <v>185</v>
      </c>
      <c r="T46" s="3" t="s">
        <v>170</v>
      </c>
      <c r="U46" s="3" t="s">
        <v>171</v>
      </c>
    </row>
    <row r="47" spans="1:21" ht="16" x14ac:dyDescent="0.2">
      <c r="A47" s="3" t="s">
        <v>434</v>
      </c>
      <c r="B47" s="3" t="s">
        <v>435</v>
      </c>
      <c r="C47" s="3" t="s">
        <v>436</v>
      </c>
      <c r="D47" s="3" t="s">
        <v>175</v>
      </c>
      <c r="E47" s="3" t="s">
        <v>282</v>
      </c>
      <c r="F47" s="3" t="s">
        <v>177</v>
      </c>
      <c r="G47" s="3" t="s">
        <v>437</v>
      </c>
      <c r="H47" s="3" t="s">
        <v>438</v>
      </c>
      <c r="I47" s="4">
        <v>8292188841</v>
      </c>
      <c r="J47" s="3" t="s">
        <v>439</v>
      </c>
      <c r="K47" t="b">
        <v>1</v>
      </c>
      <c r="L47" s="5">
        <v>44253</v>
      </c>
      <c r="M47" s="3" t="s">
        <v>181</v>
      </c>
      <c r="N47" s="3" t="s">
        <v>393</v>
      </c>
      <c r="O47" s="6">
        <v>44253.486030092594</v>
      </c>
      <c r="P47" s="6">
        <v>44253.486030092594</v>
      </c>
      <c r="Q47" s="3" t="s">
        <v>183</v>
      </c>
      <c r="R47" s="3" t="s">
        <v>183</v>
      </c>
      <c r="S47" s="7" t="s">
        <v>185</v>
      </c>
      <c r="T47" s="3" t="s">
        <v>170</v>
      </c>
      <c r="U47" s="3" t="s">
        <v>171</v>
      </c>
    </row>
    <row r="48" spans="1:21" ht="16" x14ac:dyDescent="0.2">
      <c r="A48" s="3" t="s">
        <v>440</v>
      </c>
      <c r="B48" s="3" t="s">
        <v>441</v>
      </c>
      <c r="C48" s="3" t="s">
        <v>442</v>
      </c>
      <c r="D48" s="3" t="s">
        <v>175</v>
      </c>
      <c r="E48" s="3" t="s">
        <v>282</v>
      </c>
      <c r="F48" s="3" t="s">
        <v>177</v>
      </c>
      <c r="G48" s="3" t="s">
        <v>443</v>
      </c>
      <c r="H48" s="3" t="s">
        <v>444</v>
      </c>
      <c r="I48" s="4">
        <v>8292842800</v>
      </c>
      <c r="J48" s="3" t="s">
        <v>445</v>
      </c>
      <c r="K48" t="b">
        <v>1</v>
      </c>
      <c r="L48" s="5">
        <v>44253</v>
      </c>
      <c r="M48" s="3" t="s">
        <v>181</v>
      </c>
      <c r="N48" s="3" t="s">
        <v>393</v>
      </c>
      <c r="O48" s="6">
        <v>44253.486041666663</v>
      </c>
      <c r="P48" s="6">
        <v>44253.486041666663</v>
      </c>
      <c r="Q48" s="3" t="s">
        <v>183</v>
      </c>
      <c r="R48" s="3" t="s">
        <v>183</v>
      </c>
      <c r="S48" s="7" t="s">
        <v>185</v>
      </c>
      <c r="T48" s="3" t="s">
        <v>170</v>
      </c>
      <c r="U48" s="3" t="s">
        <v>171</v>
      </c>
    </row>
    <row r="49" spans="1:21" ht="16" x14ac:dyDescent="0.2">
      <c r="A49" s="3" t="s">
        <v>446</v>
      </c>
      <c r="B49" s="3" t="s">
        <v>447</v>
      </c>
      <c r="C49" s="3" t="s">
        <v>448</v>
      </c>
      <c r="D49" s="3" t="s">
        <v>175</v>
      </c>
      <c r="E49" s="3" t="s">
        <v>282</v>
      </c>
      <c r="F49" s="3" t="s">
        <v>177</v>
      </c>
      <c r="G49" s="3" t="s">
        <v>449</v>
      </c>
      <c r="H49" s="3" t="s">
        <v>450</v>
      </c>
      <c r="I49" s="4">
        <v>8293437851</v>
      </c>
      <c r="J49" s="3" t="s">
        <v>451</v>
      </c>
      <c r="K49" t="b">
        <v>1</v>
      </c>
      <c r="L49" s="5">
        <v>44253</v>
      </c>
      <c r="M49" s="3" t="s">
        <v>181</v>
      </c>
      <c r="N49" s="3" t="s">
        <v>393</v>
      </c>
      <c r="O49" s="6">
        <v>44253.486064814817</v>
      </c>
      <c r="P49" s="6">
        <v>44253.486064814817</v>
      </c>
      <c r="Q49" s="3" t="s">
        <v>183</v>
      </c>
      <c r="R49" s="3" t="s">
        <v>183</v>
      </c>
      <c r="S49" s="7" t="s">
        <v>185</v>
      </c>
      <c r="T49" s="3" t="s">
        <v>170</v>
      </c>
      <c r="U49" s="3" t="s">
        <v>171</v>
      </c>
    </row>
    <row r="50" spans="1:21" ht="16" x14ac:dyDescent="0.2">
      <c r="A50" s="3" t="s">
        <v>452</v>
      </c>
      <c r="B50" s="3" t="s">
        <v>453</v>
      </c>
      <c r="C50" s="3" t="s">
        <v>454</v>
      </c>
      <c r="D50" s="3" t="s">
        <v>175</v>
      </c>
      <c r="E50" s="3" t="s">
        <v>176</v>
      </c>
      <c r="F50" s="3" t="s">
        <v>177</v>
      </c>
      <c r="G50" s="3" t="s">
        <v>455</v>
      </c>
      <c r="H50" s="3" t="s">
        <v>456</v>
      </c>
      <c r="I50" s="4">
        <v>8093057085</v>
      </c>
      <c r="J50" s="3" t="s">
        <v>457</v>
      </c>
      <c r="K50" t="b">
        <v>1</v>
      </c>
      <c r="L50" s="5">
        <v>44248</v>
      </c>
      <c r="M50" s="3" t="s">
        <v>181</v>
      </c>
      <c r="N50" s="3" t="s">
        <v>393</v>
      </c>
      <c r="O50" s="6">
        <v>44408.298668981479</v>
      </c>
      <c r="P50" s="6">
        <v>44253.486087962963</v>
      </c>
      <c r="Q50" s="3" t="s">
        <v>183</v>
      </c>
      <c r="R50" s="3" t="s">
        <v>184</v>
      </c>
      <c r="S50" s="7" t="s">
        <v>185</v>
      </c>
      <c r="T50" s="3" t="s">
        <v>170</v>
      </c>
      <c r="U50" s="3" t="s">
        <v>171</v>
      </c>
    </row>
    <row r="51" spans="1:21" ht="16" x14ac:dyDescent="0.2">
      <c r="A51" s="3" t="s">
        <v>458</v>
      </c>
      <c r="B51" s="3" t="s">
        <v>459</v>
      </c>
      <c r="C51" s="3" t="s">
        <v>460</v>
      </c>
      <c r="D51" s="3" t="s">
        <v>160</v>
      </c>
      <c r="E51" s="3" t="s">
        <v>201</v>
      </c>
      <c r="F51" s="3" t="s">
        <v>160</v>
      </c>
      <c r="G51" s="3" t="s">
        <v>202</v>
      </c>
      <c r="H51" s="3" t="s">
        <v>461</v>
      </c>
      <c r="I51" s="4">
        <v>8099939833</v>
      </c>
      <c r="J51" s="3" t="s">
        <v>462</v>
      </c>
      <c r="K51" t="b">
        <v>1</v>
      </c>
      <c r="L51" s="5">
        <v>44253</v>
      </c>
      <c r="M51" s="3" t="s">
        <v>181</v>
      </c>
      <c r="N51" s="3" t="s">
        <v>393</v>
      </c>
      <c r="O51" s="6">
        <v>44253.486111111109</v>
      </c>
      <c r="P51" s="6">
        <v>44253.486111111109</v>
      </c>
      <c r="Q51" s="3" t="s">
        <v>183</v>
      </c>
      <c r="R51" s="3" t="s">
        <v>183</v>
      </c>
      <c r="S51" s="7" t="s">
        <v>185</v>
      </c>
      <c r="T51" s="3" t="s">
        <v>170</v>
      </c>
      <c r="U51" s="3" t="s">
        <v>171</v>
      </c>
    </row>
    <row r="52" spans="1:21" ht="16" x14ac:dyDescent="0.2">
      <c r="A52" s="3" t="s">
        <v>463</v>
      </c>
      <c r="B52" s="3" t="s">
        <v>464</v>
      </c>
      <c r="C52" s="3" t="s">
        <v>465</v>
      </c>
      <c r="D52" s="3" t="s">
        <v>160</v>
      </c>
      <c r="E52" s="3" t="s">
        <v>201</v>
      </c>
      <c r="F52" s="3" t="s">
        <v>160</v>
      </c>
      <c r="G52" s="3" t="s">
        <v>202</v>
      </c>
      <c r="H52" s="3" t="s">
        <v>466</v>
      </c>
      <c r="I52" s="4">
        <v>8292033822</v>
      </c>
      <c r="J52" s="3" t="s">
        <v>467</v>
      </c>
      <c r="K52" t="b">
        <v>1</v>
      </c>
      <c r="L52" s="5">
        <v>44253</v>
      </c>
      <c r="M52" s="3" t="s">
        <v>181</v>
      </c>
      <c r="N52" s="3" t="s">
        <v>393</v>
      </c>
      <c r="O52" s="6">
        <v>44253.486122685186</v>
      </c>
      <c r="P52" s="6">
        <v>44253.486122685186</v>
      </c>
      <c r="Q52" s="3" t="s">
        <v>183</v>
      </c>
      <c r="R52" s="3" t="s">
        <v>183</v>
      </c>
      <c r="S52" s="7" t="s">
        <v>185</v>
      </c>
      <c r="T52" s="3" t="s">
        <v>170</v>
      </c>
      <c r="U52" s="3" t="s">
        <v>171</v>
      </c>
    </row>
    <row r="53" spans="1:21" ht="16" x14ac:dyDescent="0.2">
      <c r="A53" s="3" t="s">
        <v>468</v>
      </c>
      <c r="B53" s="3" t="s">
        <v>469</v>
      </c>
      <c r="C53" s="3" t="s">
        <v>408</v>
      </c>
      <c r="D53" s="3" t="s">
        <v>175</v>
      </c>
      <c r="E53" s="3" t="s">
        <v>176</v>
      </c>
      <c r="F53" s="3" t="s">
        <v>177</v>
      </c>
      <c r="G53" s="3" t="s">
        <v>470</v>
      </c>
      <c r="H53" s="3" t="s">
        <v>471</v>
      </c>
      <c r="I53" s="4">
        <v>8099195452</v>
      </c>
      <c r="J53" s="3" t="s">
        <v>472</v>
      </c>
      <c r="K53" t="b">
        <v>1</v>
      </c>
      <c r="L53" s="5">
        <v>44253</v>
      </c>
      <c r="M53" s="3" t="s">
        <v>181</v>
      </c>
      <c r="N53" s="3" t="s">
        <v>393</v>
      </c>
      <c r="O53" s="6">
        <v>44253.486157407409</v>
      </c>
      <c r="P53" s="6">
        <v>44253.486157407409</v>
      </c>
      <c r="Q53" s="3" t="s">
        <v>183</v>
      </c>
      <c r="R53" s="3" t="s">
        <v>183</v>
      </c>
      <c r="S53" s="7" t="s">
        <v>185</v>
      </c>
      <c r="T53" s="3" t="s">
        <v>170</v>
      </c>
      <c r="U53" s="3" t="s">
        <v>171</v>
      </c>
    </row>
    <row r="54" spans="1:21" ht="16" x14ac:dyDescent="0.2">
      <c r="A54" s="3" t="s">
        <v>473</v>
      </c>
      <c r="B54" s="3" t="s">
        <v>474</v>
      </c>
      <c r="C54" s="3" t="s">
        <v>475</v>
      </c>
      <c r="D54" s="3" t="s">
        <v>160</v>
      </c>
      <c r="E54" s="3" t="s">
        <v>201</v>
      </c>
      <c r="F54" s="3" t="s">
        <v>160</v>
      </c>
      <c r="G54" s="3" t="s">
        <v>202</v>
      </c>
      <c r="H54" s="3" t="s">
        <v>476</v>
      </c>
      <c r="I54" s="4">
        <v>8492705039</v>
      </c>
      <c r="J54" s="3" t="s">
        <v>477</v>
      </c>
      <c r="K54" t="b">
        <v>1</v>
      </c>
      <c r="L54" s="5">
        <v>44253</v>
      </c>
      <c r="M54" s="3" t="s">
        <v>181</v>
      </c>
      <c r="N54" s="3" t="s">
        <v>393</v>
      </c>
      <c r="O54" s="6">
        <v>44253.486180555556</v>
      </c>
      <c r="P54" s="6">
        <v>44253.486180555556</v>
      </c>
      <c r="Q54" s="3" t="s">
        <v>183</v>
      </c>
      <c r="R54" s="3" t="s">
        <v>183</v>
      </c>
      <c r="S54" s="7" t="s">
        <v>185</v>
      </c>
      <c r="T54" s="3" t="s">
        <v>170</v>
      </c>
      <c r="U54" s="3" t="s">
        <v>171</v>
      </c>
    </row>
    <row r="55" spans="1:21" ht="16" x14ac:dyDescent="0.2">
      <c r="A55" s="3" t="s">
        <v>478</v>
      </c>
      <c r="B55" s="3" t="s">
        <v>479</v>
      </c>
      <c r="C55" s="3" t="s">
        <v>159</v>
      </c>
      <c r="D55" s="3" t="s">
        <v>175</v>
      </c>
      <c r="E55" s="3" t="s">
        <v>176</v>
      </c>
      <c r="F55" s="3" t="s">
        <v>177</v>
      </c>
      <c r="G55" s="3" t="s">
        <v>480</v>
      </c>
      <c r="H55" s="3" t="s">
        <v>481</v>
      </c>
      <c r="I55" s="4">
        <v>8095659989</v>
      </c>
      <c r="J55" s="3" t="s">
        <v>482</v>
      </c>
      <c r="K55" t="b">
        <v>1</v>
      </c>
      <c r="L55" s="5">
        <v>44253</v>
      </c>
      <c r="M55" s="3" t="s">
        <v>181</v>
      </c>
      <c r="N55" s="3" t="s">
        <v>393</v>
      </c>
      <c r="O55" s="6">
        <v>44253.486192129632</v>
      </c>
      <c r="P55" s="6">
        <v>44253.486192129632</v>
      </c>
      <c r="Q55" s="3" t="s">
        <v>183</v>
      </c>
      <c r="R55" s="3" t="s">
        <v>183</v>
      </c>
      <c r="S55" s="7" t="s">
        <v>185</v>
      </c>
      <c r="T55" s="3" t="s">
        <v>170</v>
      </c>
      <c r="U55" s="3" t="s">
        <v>171</v>
      </c>
    </row>
    <row r="56" spans="1:21" ht="16" x14ac:dyDescent="0.2">
      <c r="A56" s="3" t="s">
        <v>483</v>
      </c>
      <c r="B56" s="3" t="s">
        <v>484</v>
      </c>
      <c r="C56" s="3" t="s">
        <v>485</v>
      </c>
      <c r="D56" s="3" t="s">
        <v>160</v>
      </c>
      <c r="E56" s="3" t="s">
        <v>201</v>
      </c>
      <c r="F56" s="3" t="s">
        <v>160</v>
      </c>
      <c r="G56" s="3" t="s">
        <v>202</v>
      </c>
      <c r="H56" s="3" t="s">
        <v>486</v>
      </c>
      <c r="I56" s="4">
        <v>8299440810</v>
      </c>
      <c r="J56" s="3" t="s">
        <v>487</v>
      </c>
      <c r="K56" t="b">
        <v>1</v>
      </c>
      <c r="L56" s="5">
        <v>44253</v>
      </c>
      <c r="M56" s="3" t="s">
        <v>181</v>
      </c>
      <c r="N56" s="3" t="s">
        <v>393</v>
      </c>
      <c r="O56" s="6">
        <v>44253.486215277779</v>
      </c>
      <c r="P56" s="6">
        <v>44253.486215277779</v>
      </c>
      <c r="Q56" s="3" t="s">
        <v>183</v>
      </c>
      <c r="R56" s="3" t="s">
        <v>183</v>
      </c>
      <c r="S56" s="7" t="s">
        <v>185</v>
      </c>
      <c r="T56" s="3" t="s">
        <v>170</v>
      </c>
      <c r="U56" s="3" t="s">
        <v>171</v>
      </c>
    </row>
    <row r="57" spans="1:21" ht="16" x14ac:dyDescent="0.2">
      <c r="A57" s="3" t="s">
        <v>488</v>
      </c>
      <c r="B57" s="3" t="s">
        <v>489</v>
      </c>
      <c r="C57" s="3" t="s">
        <v>490</v>
      </c>
      <c r="D57" s="3" t="s">
        <v>175</v>
      </c>
      <c r="E57" s="3" t="s">
        <v>282</v>
      </c>
      <c r="F57" s="3" t="s">
        <v>177</v>
      </c>
      <c r="G57" s="3" t="s">
        <v>491</v>
      </c>
      <c r="H57" s="3" t="s">
        <v>492</v>
      </c>
      <c r="I57" s="4">
        <v>8292951597</v>
      </c>
      <c r="J57" s="3" t="s">
        <v>493</v>
      </c>
      <c r="K57" t="b">
        <v>1</v>
      </c>
      <c r="L57" s="5">
        <v>44253</v>
      </c>
      <c r="M57" s="3" t="s">
        <v>181</v>
      </c>
      <c r="N57" s="3" t="s">
        <v>393</v>
      </c>
      <c r="O57" s="6">
        <v>44253.486226851855</v>
      </c>
      <c r="P57" s="6">
        <v>44253.486226851855</v>
      </c>
      <c r="Q57" s="3" t="s">
        <v>183</v>
      </c>
      <c r="R57" s="3" t="s">
        <v>183</v>
      </c>
      <c r="S57" s="7" t="s">
        <v>185</v>
      </c>
      <c r="T57" s="3" t="s">
        <v>170</v>
      </c>
      <c r="U57" s="3" t="s">
        <v>171</v>
      </c>
    </row>
    <row r="58" spans="1:21" ht="16" x14ac:dyDescent="0.2">
      <c r="A58" s="3" t="s">
        <v>494</v>
      </c>
      <c r="B58" s="3" t="s">
        <v>489</v>
      </c>
      <c r="C58" s="3" t="s">
        <v>495</v>
      </c>
      <c r="D58" s="3" t="s">
        <v>175</v>
      </c>
      <c r="E58" s="3" t="s">
        <v>282</v>
      </c>
      <c r="F58" s="3" t="s">
        <v>162</v>
      </c>
      <c r="G58" s="3" t="s">
        <v>496</v>
      </c>
      <c r="H58" s="3" t="s">
        <v>497</v>
      </c>
      <c r="I58" s="4">
        <v>8297578834</v>
      </c>
      <c r="J58" s="3" t="s">
        <v>498</v>
      </c>
      <c r="K58" t="b">
        <v>1</v>
      </c>
      <c r="L58" s="5">
        <v>44253</v>
      </c>
      <c r="M58" s="3" t="s">
        <v>181</v>
      </c>
      <c r="N58" s="3" t="s">
        <v>393</v>
      </c>
      <c r="O58" s="6">
        <v>44253.486250000002</v>
      </c>
      <c r="P58" s="6">
        <v>44253.486250000002</v>
      </c>
      <c r="Q58" s="3" t="s">
        <v>183</v>
      </c>
      <c r="R58" s="3" t="s">
        <v>183</v>
      </c>
      <c r="S58" s="7" t="s">
        <v>185</v>
      </c>
      <c r="T58" s="3" t="s">
        <v>170</v>
      </c>
      <c r="U58" s="3" t="s">
        <v>171</v>
      </c>
    </row>
    <row r="59" spans="1:21" ht="16" x14ac:dyDescent="0.2">
      <c r="A59" s="3" t="s">
        <v>499</v>
      </c>
      <c r="B59" s="3" t="s">
        <v>500</v>
      </c>
      <c r="C59" s="3" t="s">
        <v>501</v>
      </c>
      <c r="D59" s="3" t="s">
        <v>175</v>
      </c>
      <c r="E59" s="3" t="s">
        <v>176</v>
      </c>
      <c r="F59" s="3" t="s">
        <v>177</v>
      </c>
      <c r="G59" s="3" t="s">
        <v>502</v>
      </c>
      <c r="H59" s="3" t="s">
        <v>503</v>
      </c>
      <c r="I59" s="4">
        <v>8096193910</v>
      </c>
      <c r="J59" s="3" t="s">
        <v>504</v>
      </c>
      <c r="K59" t="b">
        <v>1</v>
      </c>
      <c r="L59" s="5">
        <v>44253</v>
      </c>
      <c r="M59" s="3" t="s">
        <v>181</v>
      </c>
      <c r="N59" s="3" t="s">
        <v>393</v>
      </c>
      <c r="O59" s="6">
        <v>44253.486261574071</v>
      </c>
      <c r="P59" s="6">
        <v>44253.486261574071</v>
      </c>
      <c r="Q59" s="3" t="s">
        <v>183</v>
      </c>
      <c r="R59" s="3" t="s">
        <v>183</v>
      </c>
      <c r="S59" s="7" t="s">
        <v>185</v>
      </c>
      <c r="T59" s="3" t="s">
        <v>170</v>
      </c>
      <c r="U59" s="3" t="s">
        <v>171</v>
      </c>
    </row>
    <row r="60" spans="1:21" ht="16" x14ac:dyDescent="0.2">
      <c r="A60" s="3" t="s">
        <v>505</v>
      </c>
      <c r="B60" s="3" t="s">
        <v>506</v>
      </c>
      <c r="C60" s="3" t="s">
        <v>507</v>
      </c>
      <c r="D60" s="3" t="s">
        <v>175</v>
      </c>
      <c r="E60" s="3" t="s">
        <v>282</v>
      </c>
      <c r="F60" s="3" t="s">
        <v>162</v>
      </c>
      <c r="G60" s="3" t="s">
        <v>508</v>
      </c>
      <c r="H60" s="3" t="s">
        <v>509</v>
      </c>
      <c r="I60" s="4">
        <v>8095397525</v>
      </c>
      <c r="J60" s="3" t="s">
        <v>510</v>
      </c>
      <c r="K60" t="b">
        <v>1</v>
      </c>
      <c r="L60" s="5">
        <v>44253</v>
      </c>
      <c r="M60" s="3" t="s">
        <v>181</v>
      </c>
      <c r="N60" s="3" t="s">
        <v>393</v>
      </c>
      <c r="O60" s="6">
        <v>44253.486284722225</v>
      </c>
      <c r="P60" s="6">
        <v>44253.486284722225</v>
      </c>
      <c r="Q60" s="3" t="s">
        <v>183</v>
      </c>
      <c r="R60" s="3" t="s">
        <v>183</v>
      </c>
      <c r="S60" s="7" t="s">
        <v>185</v>
      </c>
      <c r="T60" s="3" t="s">
        <v>170</v>
      </c>
      <c r="U60" s="3" t="s">
        <v>171</v>
      </c>
    </row>
    <row r="61" spans="1:21" ht="16" x14ac:dyDescent="0.2">
      <c r="A61" s="3" t="s">
        <v>511</v>
      </c>
      <c r="B61" s="3" t="s">
        <v>512</v>
      </c>
      <c r="C61" s="3" t="s">
        <v>513</v>
      </c>
      <c r="D61" s="3" t="s">
        <v>175</v>
      </c>
      <c r="E61" s="3" t="s">
        <v>176</v>
      </c>
      <c r="F61" s="3" t="s">
        <v>177</v>
      </c>
      <c r="G61" s="3" t="s">
        <v>514</v>
      </c>
      <c r="H61" s="3" t="s">
        <v>515</v>
      </c>
      <c r="I61" s="4">
        <v>8094465219</v>
      </c>
      <c r="J61" s="3" t="s">
        <v>516</v>
      </c>
      <c r="K61" t="b">
        <v>1</v>
      </c>
      <c r="L61" s="5">
        <v>44253</v>
      </c>
      <c r="M61" s="3" t="s">
        <v>181</v>
      </c>
      <c r="N61" s="3" t="s">
        <v>393</v>
      </c>
      <c r="O61" s="6">
        <v>44253.486296296294</v>
      </c>
      <c r="P61" s="6">
        <v>44253.486296296294</v>
      </c>
      <c r="Q61" s="3" t="s">
        <v>183</v>
      </c>
      <c r="R61" s="3" t="s">
        <v>183</v>
      </c>
      <c r="S61" s="7" t="s">
        <v>185</v>
      </c>
      <c r="T61" s="3" t="s">
        <v>170</v>
      </c>
      <c r="U61" s="3" t="s">
        <v>171</v>
      </c>
    </row>
    <row r="62" spans="1:21" ht="16" x14ac:dyDescent="0.2">
      <c r="A62" s="3" t="s">
        <v>517</v>
      </c>
      <c r="B62" s="3" t="s">
        <v>518</v>
      </c>
      <c r="C62" s="3" t="s">
        <v>353</v>
      </c>
      <c r="D62" s="3" t="s">
        <v>175</v>
      </c>
      <c r="E62" s="3" t="s">
        <v>161</v>
      </c>
      <c r="F62" s="3" t="s">
        <v>177</v>
      </c>
      <c r="G62" s="3" t="s">
        <v>519</v>
      </c>
      <c r="H62" s="3" t="s">
        <v>520</v>
      </c>
      <c r="I62" s="4">
        <v>8294403270</v>
      </c>
      <c r="J62" s="3" t="s">
        <v>521</v>
      </c>
      <c r="K62" t="b">
        <v>1</v>
      </c>
      <c r="L62" s="5">
        <v>44253</v>
      </c>
      <c r="M62" s="3" t="s">
        <v>181</v>
      </c>
      <c r="N62" s="3" t="s">
        <v>393</v>
      </c>
      <c r="O62" s="6">
        <v>44253.486307870371</v>
      </c>
      <c r="P62" s="6">
        <v>44253.486307870371</v>
      </c>
      <c r="Q62" s="3" t="s">
        <v>183</v>
      </c>
      <c r="R62" s="3" t="s">
        <v>183</v>
      </c>
      <c r="S62" s="7" t="s">
        <v>185</v>
      </c>
      <c r="T62" s="3" t="s">
        <v>170</v>
      </c>
      <c r="U62" s="3" t="s">
        <v>171</v>
      </c>
    </row>
    <row r="63" spans="1:21" ht="16" x14ac:dyDescent="0.2">
      <c r="A63" s="3" t="s">
        <v>522</v>
      </c>
      <c r="B63" s="3" t="s">
        <v>523</v>
      </c>
      <c r="C63" s="3" t="s">
        <v>524</v>
      </c>
      <c r="D63" s="3" t="s">
        <v>175</v>
      </c>
      <c r="E63" s="3" t="s">
        <v>161</v>
      </c>
      <c r="F63" s="3" t="s">
        <v>177</v>
      </c>
      <c r="G63" s="3" t="s">
        <v>525</v>
      </c>
      <c r="H63" s="3" t="s">
        <v>526</v>
      </c>
      <c r="I63" s="4">
        <v>9087505544</v>
      </c>
      <c r="J63" s="3" t="s">
        <v>527</v>
      </c>
      <c r="K63" t="b">
        <v>0</v>
      </c>
      <c r="L63" s="5">
        <v>44400</v>
      </c>
      <c r="M63" s="3" t="s">
        <v>181</v>
      </c>
      <c r="N63" s="3" t="s">
        <v>393</v>
      </c>
      <c r="O63" s="6">
        <v>44400.35428240741</v>
      </c>
      <c r="P63" s="6">
        <v>44253.486319444448</v>
      </c>
      <c r="Q63" s="3" t="s">
        <v>183</v>
      </c>
      <c r="R63" s="3" t="s">
        <v>184</v>
      </c>
      <c r="S63" s="7" t="s">
        <v>185</v>
      </c>
      <c r="T63" s="3" t="s">
        <v>170</v>
      </c>
      <c r="U63" s="3" t="s">
        <v>171</v>
      </c>
    </row>
    <row r="64" spans="1:21" ht="16" x14ac:dyDescent="0.2">
      <c r="A64" s="3" t="s">
        <v>528</v>
      </c>
      <c r="B64" s="3" t="s">
        <v>529</v>
      </c>
      <c r="C64" s="3" t="s">
        <v>530</v>
      </c>
      <c r="D64" s="3" t="s">
        <v>175</v>
      </c>
      <c r="E64" s="3" t="s">
        <v>176</v>
      </c>
      <c r="F64" s="3" t="s">
        <v>177</v>
      </c>
      <c r="G64" s="3" t="s">
        <v>531</v>
      </c>
      <c r="H64" s="3" t="s">
        <v>532</v>
      </c>
      <c r="I64" s="4">
        <v>8298915905</v>
      </c>
      <c r="J64" s="3" t="s">
        <v>533</v>
      </c>
      <c r="K64" t="b">
        <v>1</v>
      </c>
      <c r="L64" s="5">
        <v>44253</v>
      </c>
      <c r="M64" s="3" t="s">
        <v>181</v>
      </c>
      <c r="N64" s="3" t="s">
        <v>393</v>
      </c>
      <c r="O64" s="6">
        <v>44253.486342592594</v>
      </c>
      <c r="P64" s="6">
        <v>44253.486342592594</v>
      </c>
      <c r="Q64" s="3" t="s">
        <v>183</v>
      </c>
      <c r="R64" s="3" t="s">
        <v>183</v>
      </c>
      <c r="S64" s="7" t="s">
        <v>185</v>
      </c>
      <c r="T64" s="3" t="s">
        <v>170</v>
      </c>
      <c r="U64" s="3" t="s">
        <v>171</v>
      </c>
    </row>
    <row r="65" spans="1:21" ht="16" x14ac:dyDescent="0.2">
      <c r="A65" s="3" t="s">
        <v>534</v>
      </c>
      <c r="B65" s="3" t="s">
        <v>535</v>
      </c>
      <c r="C65" s="3" t="s">
        <v>536</v>
      </c>
      <c r="D65" s="3" t="s">
        <v>175</v>
      </c>
      <c r="E65" s="3" t="s">
        <v>161</v>
      </c>
      <c r="F65" s="3" t="s">
        <v>177</v>
      </c>
      <c r="G65" s="3" t="s">
        <v>537</v>
      </c>
      <c r="H65" s="3" t="s">
        <v>538</v>
      </c>
      <c r="I65" s="4">
        <v>8092549162</v>
      </c>
      <c r="J65" s="3" t="s">
        <v>539</v>
      </c>
      <c r="K65" t="b">
        <v>1</v>
      </c>
      <c r="L65" s="5">
        <v>44253</v>
      </c>
      <c r="M65" s="3" t="s">
        <v>181</v>
      </c>
      <c r="N65" s="3" t="s">
        <v>393</v>
      </c>
      <c r="O65" s="6">
        <v>44253.48636574074</v>
      </c>
      <c r="P65" s="6">
        <v>44253.48636574074</v>
      </c>
      <c r="Q65" s="3" t="s">
        <v>183</v>
      </c>
      <c r="R65" s="3" t="s">
        <v>183</v>
      </c>
      <c r="S65" s="7" t="s">
        <v>185</v>
      </c>
      <c r="T65" s="3" t="s">
        <v>170</v>
      </c>
      <c r="U65" s="3" t="s">
        <v>171</v>
      </c>
    </row>
    <row r="66" spans="1:21" ht="16" x14ac:dyDescent="0.2">
      <c r="A66" s="3" t="s">
        <v>540</v>
      </c>
      <c r="B66" s="3" t="s">
        <v>541</v>
      </c>
      <c r="C66" s="3" t="s">
        <v>542</v>
      </c>
      <c r="D66" s="3" t="s">
        <v>175</v>
      </c>
      <c r="E66" s="3" t="s">
        <v>176</v>
      </c>
      <c r="F66" s="3" t="s">
        <v>177</v>
      </c>
      <c r="G66" s="3" t="s">
        <v>543</v>
      </c>
      <c r="H66" s="3" t="s">
        <v>544</v>
      </c>
      <c r="I66" s="4">
        <v>8296166727</v>
      </c>
      <c r="J66" s="3" t="s">
        <v>545</v>
      </c>
      <c r="K66" t="b">
        <v>1</v>
      </c>
      <c r="L66" s="5">
        <v>44253</v>
      </c>
      <c r="M66" s="3" t="s">
        <v>181</v>
      </c>
      <c r="N66" s="3" t="s">
        <v>546</v>
      </c>
      <c r="O66" s="6">
        <v>44253.486388888887</v>
      </c>
      <c r="P66" s="6">
        <v>44253.486388888887</v>
      </c>
      <c r="Q66" s="3" t="s">
        <v>183</v>
      </c>
      <c r="R66" s="3" t="s">
        <v>183</v>
      </c>
      <c r="S66" s="7" t="s">
        <v>185</v>
      </c>
      <c r="T66" s="3" t="s">
        <v>170</v>
      </c>
      <c r="U66" s="3" t="s">
        <v>171</v>
      </c>
    </row>
    <row r="67" spans="1:21" ht="16" x14ac:dyDescent="0.2">
      <c r="A67" s="3" t="s">
        <v>547</v>
      </c>
      <c r="B67" s="3" t="s">
        <v>548</v>
      </c>
      <c r="C67" s="3" t="s">
        <v>549</v>
      </c>
      <c r="D67" s="3" t="s">
        <v>175</v>
      </c>
      <c r="E67" s="3" t="s">
        <v>282</v>
      </c>
      <c r="F67" s="3" t="s">
        <v>177</v>
      </c>
      <c r="G67" s="3" t="s">
        <v>550</v>
      </c>
      <c r="H67" s="3" t="s">
        <v>551</v>
      </c>
      <c r="I67" s="4">
        <v>8292486682</v>
      </c>
      <c r="J67" s="3"/>
      <c r="K67" t="b">
        <v>1</v>
      </c>
      <c r="L67" s="5">
        <v>44358</v>
      </c>
      <c r="M67" s="3" t="s">
        <v>181</v>
      </c>
      <c r="N67" s="3" t="s">
        <v>182</v>
      </c>
      <c r="O67" s="6">
        <v>44358.547951388886</v>
      </c>
      <c r="P67" s="6">
        <v>44348.322835648149</v>
      </c>
      <c r="Q67" s="3" t="s">
        <v>2337</v>
      </c>
      <c r="R67" s="3" t="s">
        <v>2337</v>
      </c>
      <c r="S67" s="7" t="s">
        <v>552</v>
      </c>
      <c r="T67" s="3" t="s">
        <v>170</v>
      </c>
      <c r="U67" s="3" t="s">
        <v>171</v>
      </c>
    </row>
    <row r="68" spans="1:21" ht="16" x14ac:dyDescent="0.2">
      <c r="A68" s="3" t="s">
        <v>553</v>
      </c>
      <c r="B68" s="3" t="s">
        <v>554</v>
      </c>
      <c r="C68" s="3" t="s">
        <v>555</v>
      </c>
      <c r="D68" s="3" t="s">
        <v>175</v>
      </c>
      <c r="E68" s="3" t="s">
        <v>176</v>
      </c>
      <c r="F68" s="3" t="s">
        <v>177</v>
      </c>
      <c r="G68" s="3" t="s">
        <v>556</v>
      </c>
      <c r="H68" s="3" t="s">
        <v>557</v>
      </c>
      <c r="I68" s="4">
        <v>8299444286</v>
      </c>
      <c r="J68" s="3"/>
      <c r="K68" t="b">
        <v>0</v>
      </c>
      <c r="L68" s="5">
        <v>44434</v>
      </c>
      <c r="M68" s="3" t="s">
        <v>181</v>
      </c>
      <c r="N68" s="3" t="s">
        <v>393</v>
      </c>
      <c r="O68" s="6">
        <v>44434.344409722224</v>
      </c>
      <c r="P68" s="6">
        <v>44349.320625</v>
      </c>
      <c r="Q68" s="3" t="s">
        <v>558</v>
      </c>
      <c r="R68" s="3" t="s">
        <v>184</v>
      </c>
      <c r="S68" s="7" t="s">
        <v>559</v>
      </c>
      <c r="T68" s="3" t="s">
        <v>170</v>
      </c>
      <c r="U68" s="3" t="s">
        <v>171</v>
      </c>
    </row>
    <row r="69" spans="1:21" ht="16" x14ac:dyDescent="0.2">
      <c r="A69" s="3" t="s">
        <v>560</v>
      </c>
      <c r="B69" s="3" t="s">
        <v>561</v>
      </c>
      <c r="C69" s="3" t="s">
        <v>562</v>
      </c>
      <c r="D69" s="3" t="s">
        <v>175</v>
      </c>
      <c r="E69" s="3" t="s">
        <v>176</v>
      </c>
      <c r="F69" s="3" t="s">
        <v>177</v>
      </c>
      <c r="G69" s="3" t="s">
        <v>563</v>
      </c>
      <c r="H69" s="3" t="s">
        <v>564</v>
      </c>
      <c r="I69" s="4">
        <v>8297736541</v>
      </c>
      <c r="J69" s="3"/>
      <c r="K69" t="b">
        <v>1</v>
      </c>
      <c r="L69" s="5">
        <v>44314</v>
      </c>
      <c r="M69" s="3" t="s">
        <v>181</v>
      </c>
      <c r="N69" s="3" t="s">
        <v>393</v>
      </c>
      <c r="O69" s="6">
        <v>44349.337893518517</v>
      </c>
      <c r="P69" s="6">
        <v>44349.337893518517</v>
      </c>
      <c r="Q69" s="3" t="s">
        <v>558</v>
      </c>
      <c r="R69" s="3" t="s">
        <v>558</v>
      </c>
      <c r="S69" s="7" t="s">
        <v>565</v>
      </c>
      <c r="T69" s="3" t="s">
        <v>170</v>
      </c>
      <c r="U69" s="3" t="s">
        <v>171</v>
      </c>
    </row>
    <row r="70" spans="1:21" ht="16" x14ac:dyDescent="0.2">
      <c r="A70" s="3" t="s">
        <v>566</v>
      </c>
      <c r="B70" s="3" t="s">
        <v>567</v>
      </c>
      <c r="C70" s="3" t="s">
        <v>568</v>
      </c>
      <c r="D70" s="3" t="s">
        <v>160</v>
      </c>
      <c r="E70" s="3" t="s">
        <v>201</v>
      </c>
      <c r="F70" s="3" t="s">
        <v>160</v>
      </c>
      <c r="G70" s="3"/>
      <c r="H70" s="3" t="s">
        <v>569</v>
      </c>
      <c r="I70" s="4">
        <v>8098299863</v>
      </c>
      <c r="J70" s="3"/>
      <c r="K70" t="b">
        <v>1</v>
      </c>
      <c r="L70" s="5">
        <v>44358</v>
      </c>
      <c r="M70" s="3" t="s">
        <v>181</v>
      </c>
      <c r="N70" s="3" t="s">
        <v>182</v>
      </c>
      <c r="O70" s="6">
        <v>44358.618506944447</v>
      </c>
      <c r="P70" s="6">
        <v>44354.434282407405</v>
      </c>
      <c r="Q70" s="3" t="s">
        <v>2569</v>
      </c>
      <c r="R70" s="3" t="s">
        <v>570</v>
      </c>
      <c r="S70" s="7" t="s">
        <v>571</v>
      </c>
      <c r="T70" s="3" t="s">
        <v>170</v>
      </c>
      <c r="U70" s="3" t="s">
        <v>171</v>
      </c>
    </row>
    <row r="71" spans="1:21" ht="16" x14ac:dyDescent="0.2">
      <c r="A71" s="3" t="s">
        <v>572</v>
      </c>
      <c r="B71" s="3" t="s">
        <v>573</v>
      </c>
      <c r="C71" s="3" t="s">
        <v>574</v>
      </c>
      <c r="D71" s="3" t="s">
        <v>175</v>
      </c>
      <c r="E71" s="3" t="s">
        <v>176</v>
      </c>
      <c r="F71" s="3" t="s">
        <v>177</v>
      </c>
      <c r="G71" s="3" t="s">
        <v>575</v>
      </c>
      <c r="H71" s="3" t="s">
        <v>576</v>
      </c>
      <c r="I71" s="4">
        <v>8093063434</v>
      </c>
      <c r="J71" s="3"/>
      <c r="K71" t="b">
        <v>1</v>
      </c>
      <c r="L71" s="5">
        <v>44331</v>
      </c>
      <c r="M71" s="3" t="s">
        <v>181</v>
      </c>
      <c r="N71" s="3" t="s">
        <v>393</v>
      </c>
      <c r="O71" s="6">
        <v>44354.861863425926</v>
      </c>
      <c r="P71" s="6">
        <v>44354.861863425926</v>
      </c>
      <c r="Q71" s="3" t="s">
        <v>577</v>
      </c>
      <c r="R71" s="3" t="s">
        <v>577</v>
      </c>
      <c r="S71" s="7" t="s">
        <v>578</v>
      </c>
      <c r="T71" s="3" t="s">
        <v>170</v>
      </c>
      <c r="U71" s="3" t="s">
        <v>171</v>
      </c>
    </row>
    <row r="72" spans="1:21" ht="16" x14ac:dyDescent="0.2">
      <c r="A72" s="3" t="s">
        <v>579</v>
      </c>
      <c r="B72" s="3" t="s">
        <v>580</v>
      </c>
      <c r="C72" s="3" t="s">
        <v>581</v>
      </c>
      <c r="D72" s="3" t="s">
        <v>160</v>
      </c>
      <c r="E72" s="3" t="s">
        <v>201</v>
      </c>
      <c r="F72" s="3" t="s">
        <v>160</v>
      </c>
      <c r="G72" s="3" t="s">
        <v>201</v>
      </c>
      <c r="H72" s="3" t="s">
        <v>582</v>
      </c>
      <c r="I72" s="4">
        <v>8293875591</v>
      </c>
      <c r="J72" s="3"/>
      <c r="K72" t="b">
        <v>1</v>
      </c>
      <c r="L72" s="5">
        <v>44355</v>
      </c>
      <c r="M72" s="3" t="s">
        <v>181</v>
      </c>
      <c r="N72" s="3" t="s">
        <v>182</v>
      </c>
      <c r="O72" s="6">
        <v>44355.403333333335</v>
      </c>
      <c r="P72" s="6">
        <v>44355.403333333335</v>
      </c>
      <c r="Q72" s="3" t="s">
        <v>577</v>
      </c>
      <c r="R72" s="3" t="s">
        <v>577</v>
      </c>
      <c r="S72" s="7" t="s">
        <v>583</v>
      </c>
      <c r="T72" s="3" t="s">
        <v>170</v>
      </c>
      <c r="U72" s="3" t="s">
        <v>171</v>
      </c>
    </row>
    <row r="73" spans="1:21" ht="16" x14ac:dyDescent="0.2">
      <c r="A73" s="3" t="s">
        <v>584</v>
      </c>
      <c r="B73" s="3" t="s">
        <v>585</v>
      </c>
      <c r="C73" s="3" t="s">
        <v>586</v>
      </c>
      <c r="D73" s="3" t="s">
        <v>160</v>
      </c>
      <c r="E73" s="3" t="s">
        <v>201</v>
      </c>
      <c r="F73" s="3" t="s">
        <v>160</v>
      </c>
      <c r="G73" s="3" t="s">
        <v>587</v>
      </c>
      <c r="H73" s="3" t="s">
        <v>588</v>
      </c>
      <c r="I73" s="4">
        <v>8096606250</v>
      </c>
      <c r="J73" s="3"/>
      <c r="K73" t="b">
        <v>1</v>
      </c>
      <c r="L73" s="5">
        <v>44432</v>
      </c>
      <c r="M73" s="3" t="s">
        <v>181</v>
      </c>
      <c r="N73" s="3" t="s">
        <v>393</v>
      </c>
      <c r="O73" s="6">
        <v>44432.478773148148</v>
      </c>
      <c r="P73" s="6">
        <v>44355.740312499998</v>
      </c>
      <c r="Q73" s="3" t="s">
        <v>577</v>
      </c>
      <c r="R73" s="3" t="s">
        <v>184</v>
      </c>
      <c r="S73" s="7" t="s">
        <v>589</v>
      </c>
      <c r="T73" s="3" t="s">
        <v>170</v>
      </c>
      <c r="U73" s="3" t="s">
        <v>171</v>
      </c>
    </row>
    <row r="74" spans="1:21" x14ac:dyDescent="0.2">
      <c r="A74" s="3" t="s">
        <v>590</v>
      </c>
      <c r="B74" s="3" t="s">
        <v>591</v>
      </c>
      <c r="C74" s="3" t="s">
        <v>592</v>
      </c>
      <c r="D74" s="3" t="s">
        <v>160</v>
      </c>
      <c r="E74" s="3" t="s">
        <v>201</v>
      </c>
      <c r="F74" s="3" t="s">
        <v>160</v>
      </c>
      <c r="G74" s="3"/>
      <c r="H74" s="3" t="s">
        <v>593</v>
      </c>
      <c r="I74" s="4">
        <v>8096713342</v>
      </c>
      <c r="J74" s="3"/>
      <c r="K74" t="b">
        <v>1</v>
      </c>
      <c r="L74" s="5">
        <v>44358</v>
      </c>
      <c r="M74" s="3" t="s">
        <v>181</v>
      </c>
      <c r="N74" s="3" t="s">
        <v>393</v>
      </c>
      <c r="O74" s="6">
        <v>44358.379826388889</v>
      </c>
      <c r="P74" s="6">
        <v>44356.506377314814</v>
      </c>
      <c r="Q74" s="3" t="s">
        <v>558</v>
      </c>
      <c r="R74" s="3" t="s">
        <v>558</v>
      </c>
      <c r="S74" s="7"/>
      <c r="T74" s="3" t="s">
        <v>170</v>
      </c>
      <c r="U74" s="3" t="s">
        <v>171</v>
      </c>
    </row>
    <row r="75" spans="1:21" ht="16" x14ac:dyDescent="0.2">
      <c r="A75" s="3" t="s">
        <v>594</v>
      </c>
      <c r="B75" s="3" t="s">
        <v>595</v>
      </c>
      <c r="C75" s="3" t="s">
        <v>596</v>
      </c>
      <c r="D75" s="3" t="s">
        <v>160</v>
      </c>
      <c r="E75" s="3" t="s">
        <v>201</v>
      </c>
      <c r="F75" s="3" t="s">
        <v>160</v>
      </c>
      <c r="G75" s="3"/>
      <c r="H75" s="3"/>
      <c r="I75" s="4">
        <v>8294508977</v>
      </c>
      <c r="J75" s="3"/>
      <c r="K75" t="b">
        <v>1</v>
      </c>
      <c r="L75" s="5">
        <v>44358</v>
      </c>
      <c r="M75" s="3" t="s">
        <v>181</v>
      </c>
      <c r="N75" s="3" t="s">
        <v>182</v>
      </c>
      <c r="O75" s="6">
        <v>44358.532766203702</v>
      </c>
      <c r="P75" s="6">
        <v>44358.282187500001</v>
      </c>
      <c r="Q75" s="3" t="s">
        <v>168</v>
      </c>
      <c r="R75" s="3" t="s">
        <v>558</v>
      </c>
      <c r="S75" s="7" t="s">
        <v>597</v>
      </c>
      <c r="T75" s="3" t="s">
        <v>170</v>
      </c>
      <c r="U75" s="3" t="s">
        <v>171</v>
      </c>
    </row>
    <row r="76" spans="1:21" ht="16" x14ac:dyDescent="0.2">
      <c r="A76" s="3" t="s">
        <v>598</v>
      </c>
      <c r="B76" s="3" t="s">
        <v>173</v>
      </c>
      <c r="C76" s="3" t="s">
        <v>599</v>
      </c>
      <c r="D76" s="3" t="s">
        <v>175</v>
      </c>
      <c r="E76" s="3" t="s">
        <v>176</v>
      </c>
      <c r="F76" s="3" t="s">
        <v>177</v>
      </c>
      <c r="G76" s="3" t="s">
        <v>600</v>
      </c>
      <c r="H76" s="3"/>
      <c r="I76" s="4">
        <v>8096609568</v>
      </c>
      <c r="J76" s="3"/>
      <c r="K76" t="b">
        <v>0</v>
      </c>
      <c r="L76" s="5">
        <v>44432</v>
      </c>
      <c r="M76" s="3" t="s">
        <v>181</v>
      </c>
      <c r="N76" s="3" t="s">
        <v>182</v>
      </c>
      <c r="O76" s="6">
        <v>44432.293449074074</v>
      </c>
      <c r="P76" s="6">
        <v>44358.29210648148</v>
      </c>
      <c r="Q76" s="3" t="s">
        <v>2337</v>
      </c>
      <c r="R76" s="3" t="s">
        <v>184</v>
      </c>
      <c r="S76" s="7" t="s">
        <v>601</v>
      </c>
      <c r="T76" s="3" t="s">
        <v>170</v>
      </c>
      <c r="U76" s="3" t="s">
        <v>171</v>
      </c>
    </row>
    <row r="77" spans="1:21" ht="16" x14ac:dyDescent="0.2">
      <c r="A77" s="3" t="s">
        <v>602</v>
      </c>
      <c r="B77" s="3" t="s">
        <v>603</v>
      </c>
      <c r="C77" s="3" t="s">
        <v>604</v>
      </c>
      <c r="D77" s="3" t="s">
        <v>160</v>
      </c>
      <c r="E77" s="3" t="s">
        <v>201</v>
      </c>
      <c r="F77" s="3" t="s">
        <v>160</v>
      </c>
      <c r="G77" s="3" t="s">
        <v>605</v>
      </c>
      <c r="H77" s="3"/>
      <c r="I77" s="4">
        <v>8293923291</v>
      </c>
      <c r="J77" s="3"/>
      <c r="K77" t="b">
        <v>0</v>
      </c>
      <c r="L77" s="5">
        <v>44432</v>
      </c>
      <c r="M77" s="3" t="s">
        <v>181</v>
      </c>
      <c r="N77" s="3" t="s">
        <v>182</v>
      </c>
      <c r="O77" s="6">
        <v>44432.305011574077</v>
      </c>
      <c r="P77" s="6">
        <v>44358.298773148148</v>
      </c>
      <c r="Q77" s="3" t="s">
        <v>2337</v>
      </c>
      <c r="R77" s="3" t="s">
        <v>184</v>
      </c>
      <c r="S77" s="7" t="s">
        <v>606</v>
      </c>
      <c r="T77" s="3" t="s">
        <v>170</v>
      </c>
      <c r="U77" s="3" t="s">
        <v>171</v>
      </c>
    </row>
    <row r="78" spans="1:21" ht="16" x14ac:dyDescent="0.2">
      <c r="A78" s="3" t="s">
        <v>607</v>
      </c>
      <c r="B78" s="3" t="s">
        <v>608</v>
      </c>
      <c r="C78" s="3" t="s">
        <v>609</v>
      </c>
      <c r="D78" s="3" t="s">
        <v>175</v>
      </c>
      <c r="E78" s="3" t="s">
        <v>176</v>
      </c>
      <c r="F78" s="3" t="s">
        <v>177</v>
      </c>
      <c r="G78" s="3" t="s">
        <v>610</v>
      </c>
      <c r="H78" s="3"/>
      <c r="I78" s="4">
        <v>8294181465</v>
      </c>
      <c r="J78" s="3"/>
      <c r="K78" t="b">
        <v>1</v>
      </c>
      <c r="L78" s="5">
        <v>44328</v>
      </c>
      <c r="M78" s="3" t="s">
        <v>181</v>
      </c>
      <c r="N78" s="3" t="s">
        <v>182</v>
      </c>
      <c r="O78" s="6">
        <v>44358.302210648151</v>
      </c>
      <c r="P78" s="6">
        <v>44358.302210648151</v>
      </c>
      <c r="Q78" s="3" t="s">
        <v>2337</v>
      </c>
      <c r="R78" s="3" t="s">
        <v>2337</v>
      </c>
      <c r="S78" s="7" t="s">
        <v>611</v>
      </c>
      <c r="T78" s="3" t="s">
        <v>170</v>
      </c>
      <c r="U78" s="3" t="s">
        <v>171</v>
      </c>
    </row>
    <row r="79" spans="1:21" ht="16" x14ac:dyDescent="0.2">
      <c r="A79" s="3" t="s">
        <v>612</v>
      </c>
      <c r="B79" s="3" t="s">
        <v>613</v>
      </c>
      <c r="C79" s="3" t="s">
        <v>614</v>
      </c>
      <c r="D79" s="3" t="s">
        <v>160</v>
      </c>
      <c r="E79" s="3" t="s">
        <v>201</v>
      </c>
      <c r="F79" s="3" t="s">
        <v>160</v>
      </c>
      <c r="G79" s="3" t="s">
        <v>615</v>
      </c>
      <c r="H79" s="3"/>
      <c r="I79" s="4">
        <v>8096608478</v>
      </c>
      <c r="J79" s="3"/>
      <c r="K79" t="b">
        <v>0</v>
      </c>
      <c r="L79" s="5">
        <v>44434</v>
      </c>
      <c r="M79" s="3" t="s">
        <v>181</v>
      </c>
      <c r="N79" s="3" t="s">
        <v>182</v>
      </c>
      <c r="O79" s="6">
        <v>44434.355405092596</v>
      </c>
      <c r="P79" s="6">
        <v>44358.305659722224</v>
      </c>
      <c r="Q79" s="3" t="s">
        <v>2337</v>
      </c>
      <c r="R79" s="3" t="s">
        <v>184</v>
      </c>
      <c r="S79" s="7" t="s">
        <v>616</v>
      </c>
      <c r="T79" s="3" t="s">
        <v>170</v>
      </c>
      <c r="U79" s="3" t="s">
        <v>171</v>
      </c>
    </row>
    <row r="80" spans="1:21" ht="16" x14ac:dyDescent="0.2">
      <c r="A80" s="3" t="s">
        <v>617</v>
      </c>
      <c r="B80" s="3" t="s">
        <v>618</v>
      </c>
      <c r="C80" s="3" t="s">
        <v>619</v>
      </c>
      <c r="D80" s="3" t="s">
        <v>175</v>
      </c>
      <c r="E80" s="3" t="s">
        <v>176</v>
      </c>
      <c r="F80" s="3" t="s">
        <v>177</v>
      </c>
      <c r="G80" s="3" t="s">
        <v>620</v>
      </c>
      <c r="H80" s="3"/>
      <c r="I80" s="4">
        <v>8094072524</v>
      </c>
      <c r="J80" s="3"/>
      <c r="K80" t="b">
        <v>1</v>
      </c>
      <c r="L80" s="5">
        <v>44356</v>
      </c>
      <c r="M80" s="3" t="s">
        <v>181</v>
      </c>
      <c r="N80" s="3" t="s">
        <v>182</v>
      </c>
      <c r="O80" s="6">
        <v>44358.690069444441</v>
      </c>
      <c r="P80" s="6">
        <v>44358.307395833333</v>
      </c>
      <c r="Q80" s="3" t="s">
        <v>2337</v>
      </c>
      <c r="R80" s="3" t="s">
        <v>2337</v>
      </c>
      <c r="S80" s="7" t="s">
        <v>611</v>
      </c>
      <c r="T80" s="3" t="s">
        <v>170</v>
      </c>
      <c r="U80" s="3" t="s">
        <v>171</v>
      </c>
    </row>
    <row r="81" spans="1:21" ht="16" x14ac:dyDescent="0.2">
      <c r="A81" s="3" t="s">
        <v>621</v>
      </c>
      <c r="B81" s="3" t="s">
        <v>622</v>
      </c>
      <c r="C81" s="3" t="s">
        <v>623</v>
      </c>
      <c r="D81" s="3" t="s">
        <v>175</v>
      </c>
      <c r="E81" s="3" t="s">
        <v>176</v>
      </c>
      <c r="F81" s="3" t="s">
        <v>177</v>
      </c>
      <c r="G81" s="3" t="s">
        <v>624</v>
      </c>
      <c r="H81" s="3"/>
      <c r="I81" s="4">
        <v>8292735474</v>
      </c>
      <c r="J81" s="3"/>
      <c r="K81" t="b">
        <v>1</v>
      </c>
      <c r="L81" s="5">
        <v>44334</v>
      </c>
      <c r="M81" s="3" t="s">
        <v>181</v>
      </c>
      <c r="N81" s="3" t="s">
        <v>182</v>
      </c>
      <c r="O81" s="6">
        <v>44358.319224537037</v>
      </c>
      <c r="P81" s="6">
        <v>44358.319224537037</v>
      </c>
      <c r="Q81" s="3" t="s">
        <v>2337</v>
      </c>
      <c r="R81" s="3" t="s">
        <v>2337</v>
      </c>
      <c r="S81" s="7" t="s">
        <v>611</v>
      </c>
      <c r="T81" s="3" t="s">
        <v>170</v>
      </c>
      <c r="U81" s="3" t="s">
        <v>171</v>
      </c>
    </row>
    <row r="82" spans="1:21" ht="16" x14ac:dyDescent="0.2">
      <c r="A82" s="3" t="s">
        <v>625</v>
      </c>
      <c r="B82" s="3" t="s">
        <v>626</v>
      </c>
      <c r="C82" s="3" t="s">
        <v>627</v>
      </c>
      <c r="D82" s="3" t="s">
        <v>175</v>
      </c>
      <c r="E82" s="3" t="s">
        <v>282</v>
      </c>
      <c r="F82" s="3" t="s">
        <v>177</v>
      </c>
      <c r="G82" s="3" t="s">
        <v>628</v>
      </c>
      <c r="H82" s="3"/>
      <c r="I82" s="4">
        <v>8099973689</v>
      </c>
      <c r="J82" s="3"/>
      <c r="K82" t="b">
        <v>0</v>
      </c>
      <c r="L82" s="5">
        <v>44434</v>
      </c>
      <c r="M82" s="3" t="s">
        <v>181</v>
      </c>
      <c r="N82" s="3" t="s">
        <v>182</v>
      </c>
      <c r="O82" s="6">
        <v>44434.369710648149</v>
      </c>
      <c r="P82" s="6">
        <v>44358.32130787037</v>
      </c>
      <c r="Q82" s="3" t="s">
        <v>2337</v>
      </c>
      <c r="R82" s="3" t="s">
        <v>184</v>
      </c>
      <c r="S82" s="7" t="s">
        <v>629</v>
      </c>
      <c r="T82" s="3" t="s">
        <v>170</v>
      </c>
      <c r="U82" s="3" t="s">
        <v>171</v>
      </c>
    </row>
    <row r="83" spans="1:21" ht="16" x14ac:dyDescent="0.2">
      <c r="A83" s="3" t="s">
        <v>630</v>
      </c>
      <c r="B83" s="3" t="s">
        <v>631</v>
      </c>
      <c r="C83" s="3" t="s">
        <v>632</v>
      </c>
      <c r="D83" s="3" t="s">
        <v>175</v>
      </c>
      <c r="E83" s="3" t="s">
        <v>176</v>
      </c>
      <c r="F83" s="3" t="s">
        <v>177</v>
      </c>
      <c r="G83" s="3" t="s">
        <v>633</v>
      </c>
      <c r="H83" s="3"/>
      <c r="I83" s="4">
        <v>8296472130</v>
      </c>
      <c r="J83" s="3"/>
      <c r="K83" t="b">
        <v>1</v>
      </c>
      <c r="L83" s="5">
        <v>44348</v>
      </c>
      <c r="M83" s="3" t="s">
        <v>181</v>
      </c>
      <c r="N83" s="3" t="s">
        <v>182</v>
      </c>
      <c r="O83" s="6">
        <v>44358.325532407405</v>
      </c>
      <c r="P83" s="6">
        <v>44358.325532407405</v>
      </c>
      <c r="Q83" s="3" t="s">
        <v>2337</v>
      </c>
      <c r="R83" s="3" t="s">
        <v>2337</v>
      </c>
      <c r="S83" s="7" t="s">
        <v>634</v>
      </c>
      <c r="T83" s="3" t="s">
        <v>170</v>
      </c>
      <c r="U83" s="3" t="s">
        <v>171</v>
      </c>
    </row>
    <row r="84" spans="1:21" ht="16" x14ac:dyDescent="0.2">
      <c r="A84" s="3" t="s">
        <v>635</v>
      </c>
      <c r="B84" s="3" t="s">
        <v>636</v>
      </c>
      <c r="C84" s="3" t="s">
        <v>637</v>
      </c>
      <c r="D84" s="3" t="s">
        <v>175</v>
      </c>
      <c r="E84" s="3" t="s">
        <v>161</v>
      </c>
      <c r="F84" s="3" t="s">
        <v>177</v>
      </c>
      <c r="G84" s="3" t="s">
        <v>638</v>
      </c>
      <c r="H84" s="3"/>
      <c r="I84" s="4">
        <v>8296505208</v>
      </c>
      <c r="J84" s="3"/>
      <c r="K84" t="b">
        <v>0</v>
      </c>
      <c r="L84" s="5">
        <v>44432</v>
      </c>
      <c r="M84" s="3" t="s">
        <v>181</v>
      </c>
      <c r="N84" s="3" t="s">
        <v>182</v>
      </c>
      <c r="O84" s="6">
        <v>44432.306238425925</v>
      </c>
      <c r="P84" s="6">
        <v>44358.327094907407</v>
      </c>
      <c r="Q84" s="3" t="s">
        <v>2337</v>
      </c>
      <c r="R84" s="3" t="s">
        <v>184</v>
      </c>
      <c r="S84" s="7" t="s">
        <v>639</v>
      </c>
      <c r="T84" s="3" t="s">
        <v>170</v>
      </c>
      <c r="U84" s="3" t="s">
        <v>171</v>
      </c>
    </row>
    <row r="85" spans="1:21" ht="16" x14ac:dyDescent="0.2">
      <c r="A85" s="3" t="s">
        <v>640</v>
      </c>
      <c r="B85" s="3" t="s">
        <v>641</v>
      </c>
      <c r="C85" s="3" t="s">
        <v>642</v>
      </c>
      <c r="D85" s="3" t="s">
        <v>175</v>
      </c>
      <c r="E85" s="3" t="s">
        <v>176</v>
      </c>
      <c r="F85" s="3" t="s">
        <v>177</v>
      </c>
      <c r="G85" s="3" t="s">
        <v>643</v>
      </c>
      <c r="H85" s="3" t="s">
        <v>644</v>
      </c>
      <c r="I85" s="4">
        <v>8296027392</v>
      </c>
      <c r="J85" s="3"/>
      <c r="K85" t="b">
        <v>1</v>
      </c>
      <c r="L85" s="5">
        <v>44383</v>
      </c>
      <c r="M85" s="3" t="s">
        <v>181</v>
      </c>
      <c r="N85" s="3" t="s">
        <v>393</v>
      </c>
      <c r="O85" s="6">
        <v>44383.392395833333</v>
      </c>
      <c r="P85" s="6">
        <v>44358.342523148145</v>
      </c>
      <c r="Q85" s="3" t="s">
        <v>570</v>
      </c>
      <c r="R85" s="3" t="s">
        <v>184</v>
      </c>
      <c r="S85" s="7" t="s">
        <v>645</v>
      </c>
      <c r="T85" s="3" t="s">
        <v>170</v>
      </c>
      <c r="U85" s="3" t="s">
        <v>171</v>
      </c>
    </row>
    <row r="86" spans="1:21" ht="16" x14ac:dyDescent="0.2">
      <c r="A86" s="3" t="s">
        <v>646</v>
      </c>
      <c r="B86" s="3" t="s">
        <v>647</v>
      </c>
      <c r="C86" s="3" t="s">
        <v>648</v>
      </c>
      <c r="D86" s="3" t="s">
        <v>175</v>
      </c>
      <c r="E86" s="3" t="s">
        <v>282</v>
      </c>
      <c r="F86" s="3" t="s">
        <v>177</v>
      </c>
      <c r="G86" s="3" t="s">
        <v>649</v>
      </c>
      <c r="H86" s="3"/>
      <c r="I86" s="4">
        <v>8294999975</v>
      </c>
      <c r="J86" s="3"/>
      <c r="K86" t="b">
        <v>1</v>
      </c>
      <c r="L86" s="5">
        <v>44358</v>
      </c>
      <c r="M86" s="3" t="s">
        <v>181</v>
      </c>
      <c r="N86" s="3" t="s">
        <v>182</v>
      </c>
      <c r="O86" s="6">
        <v>44358.356840277775</v>
      </c>
      <c r="P86" s="6">
        <v>44358.356840277775</v>
      </c>
      <c r="Q86" s="3" t="s">
        <v>570</v>
      </c>
      <c r="R86" s="3" t="s">
        <v>570</v>
      </c>
      <c r="S86" s="7" t="s">
        <v>650</v>
      </c>
      <c r="T86" s="3" t="s">
        <v>170</v>
      </c>
      <c r="U86" s="3" t="s">
        <v>171</v>
      </c>
    </row>
    <row r="87" spans="1:21" ht="16" x14ac:dyDescent="0.2">
      <c r="A87" s="3" t="s">
        <v>651</v>
      </c>
      <c r="B87" s="3" t="s">
        <v>652</v>
      </c>
      <c r="C87" s="3" t="s">
        <v>653</v>
      </c>
      <c r="D87" s="3" t="s">
        <v>175</v>
      </c>
      <c r="E87" s="3" t="s">
        <v>176</v>
      </c>
      <c r="F87" s="3" t="s">
        <v>177</v>
      </c>
      <c r="G87" s="3" t="s">
        <v>654</v>
      </c>
      <c r="H87" s="3" t="s">
        <v>655</v>
      </c>
      <c r="I87" s="4">
        <v>8096072799</v>
      </c>
      <c r="J87" s="3"/>
      <c r="K87" t="b">
        <v>1</v>
      </c>
      <c r="L87" s="5">
        <v>44358</v>
      </c>
      <c r="M87" s="3" t="s">
        <v>181</v>
      </c>
      <c r="N87" s="3" t="s">
        <v>393</v>
      </c>
      <c r="O87" s="6">
        <v>44358.362187500003</v>
      </c>
      <c r="P87" s="6">
        <v>44358.362187500003</v>
      </c>
      <c r="Q87" s="3" t="s">
        <v>570</v>
      </c>
      <c r="R87" s="3" t="s">
        <v>570</v>
      </c>
      <c r="S87" s="7" t="s">
        <v>656</v>
      </c>
      <c r="T87" s="3" t="s">
        <v>170</v>
      </c>
      <c r="U87" s="3" t="s">
        <v>171</v>
      </c>
    </row>
    <row r="88" spans="1:21" ht="16" x14ac:dyDescent="0.2">
      <c r="A88" s="3" t="s">
        <v>657</v>
      </c>
      <c r="B88" s="3" t="s">
        <v>658</v>
      </c>
      <c r="C88" s="3" t="s">
        <v>659</v>
      </c>
      <c r="D88" s="3" t="s">
        <v>175</v>
      </c>
      <c r="E88" s="3" t="s">
        <v>176</v>
      </c>
      <c r="F88" s="3" t="s">
        <v>177</v>
      </c>
      <c r="G88" s="3" t="s">
        <v>660</v>
      </c>
      <c r="H88" s="3" t="s">
        <v>661</v>
      </c>
      <c r="I88" s="4">
        <v>8096270966</v>
      </c>
      <c r="J88" s="3"/>
      <c r="K88" t="b">
        <v>1</v>
      </c>
      <c r="L88" s="5">
        <v>44358</v>
      </c>
      <c r="M88" s="3" t="s">
        <v>181</v>
      </c>
      <c r="N88" s="3" t="s">
        <v>393</v>
      </c>
      <c r="O88" s="6">
        <v>44358.363946759258</v>
      </c>
      <c r="P88" s="6">
        <v>44358.363946759258</v>
      </c>
      <c r="Q88" s="3" t="s">
        <v>570</v>
      </c>
      <c r="R88" s="3" t="s">
        <v>570</v>
      </c>
      <c r="S88" s="7" t="s">
        <v>662</v>
      </c>
      <c r="T88" s="3" t="s">
        <v>170</v>
      </c>
      <c r="U88" s="3" t="s">
        <v>171</v>
      </c>
    </row>
    <row r="89" spans="1:21" ht="16" x14ac:dyDescent="0.2">
      <c r="A89" s="3" t="s">
        <v>663</v>
      </c>
      <c r="B89" s="3" t="s">
        <v>664</v>
      </c>
      <c r="C89" s="3" t="s">
        <v>665</v>
      </c>
      <c r="D89" s="3" t="s">
        <v>160</v>
      </c>
      <c r="E89" s="3" t="s">
        <v>201</v>
      </c>
      <c r="F89" s="3" t="s">
        <v>160</v>
      </c>
      <c r="G89" s="3"/>
      <c r="H89" s="3"/>
      <c r="I89" s="4">
        <v>8295432093</v>
      </c>
      <c r="J89" s="3"/>
      <c r="K89" t="b">
        <v>1</v>
      </c>
      <c r="L89" s="5">
        <v>44358</v>
      </c>
      <c r="M89" s="3" t="s">
        <v>181</v>
      </c>
      <c r="N89" s="3" t="s">
        <v>182</v>
      </c>
      <c r="O89" s="6">
        <v>44358.364953703705</v>
      </c>
      <c r="P89" s="6">
        <v>44358.364953703705</v>
      </c>
      <c r="Q89" s="3" t="s">
        <v>570</v>
      </c>
      <c r="R89" s="3" t="s">
        <v>570</v>
      </c>
      <c r="S89" s="7" t="s">
        <v>650</v>
      </c>
      <c r="T89" s="3" t="s">
        <v>170</v>
      </c>
      <c r="U89" s="3" t="s">
        <v>171</v>
      </c>
    </row>
    <row r="90" spans="1:21" ht="16" x14ac:dyDescent="0.2">
      <c r="A90" s="3" t="s">
        <v>666</v>
      </c>
      <c r="B90" s="3" t="s">
        <v>667</v>
      </c>
      <c r="C90" s="3" t="s">
        <v>668</v>
      </c>
      <c r="D90" s="3" t="s">
        <v>160</v>
      </c>
      <c r="E90" s="3" t="s">
        <v>201</v>
      </c>
      <c r="F90" s="3" t="s">
        <v>160</v>
      </c>
      <c r="G90" s="3"/>
      <c r="H90" s="3"/>
      <c r="I90" s="4">
        <v>8498690608</v>
      </c>
      <c r="J90" s="3"/>
      <c r="K90" t="b">
        <v>1</v>
      </c>
      <c r="L90" s="5">
        <v>44358</v>
      </c>
      <c r="M90" s="3" t="s">
        <v>181</v>
      </c>
      <c r="N90" s="3" t="s">
        <v>182</v>
      </c>
      <c r="O90" s="6">
        <v>44358.383437500001</v>
      </c>
      <c r="P90" s="6">
        <v>44358.383437500001</v>
      </c>
      <c r="Q90" s="3" t="s">
        <v>570</v>
      </c>
      <c r="R90" s="3" t="s">
        <v>570</v>
      </c>
      <c r="S90" s="7" t="s">
        <v>616</v>
      </c>
      <c r="T90" s="3" t="s">
        <v>170</v>
      </c>
      <c r="U90" s="3" t="s">
        <v>171</v>
      </c>
    </row>
    <row r="91" spans="1:21" ht="16" x14ac:dyDescent="0.2">
      <c r="A91" s="3" t="s">
        <v>669</v>
      </c>
      <c r="B91" s="3" t="s">
        <v>670</v>
      </c>
      <c r="C91" s="3" t="s">
        <v>671</v>
      </c>
      <c r="D91" s="3" t="s">
        <v>160</v>
      </c>
      <c r="E91" s="3" t="s">
        <v>201</v>
      </c>
      <c r="F91" s="3" t="s">
        <v>160</v>
      </c>
      <c r="G91" s="3"/>
      <c r="H91" s="3"/>
      <c r="I91" s="4">
        <v>8296998292</v>
      </c>
      <c r="J91" s="3"/>
      <c r="K91" t="b">
        <v>1</v>
      </c>
      <c r="L91" s="5">
        <v>44358</v>
      </c>
      <c r="M91" s="3" t="s">
        <v>181</v>
      </c>
      <c r="N91" s="3" t="s">
        <v>182</v>
      </c>
      <c r="O91" s="6">
        <v>44358.384722222225</v>
      </c>
      <c r="P91" s="6">
        <v>44358.384722222225</v>
      </c>
      <c r="Q91" s="3" t="s">
        <v>570</v>
      </c>
      <c r="R91" s="3" t="s">
        <v>570</v>
      </c>
      <c r="S91" s="7" t="s">
        <v>672</v>
      </c>
      <c r="T91" s="3" t="s">
        <v>170</v>
      </c>
      <c r="U91" s="3" t="s">
        <v>171</v>
      </c>
    </row>
    <row r="92" spans="1:21" ht="16" x14ac:dyDescent="0.2">
      <c r="A92" s="3" t="s">
        <v>673</v>
      </c>
      <c r="B92" s="3" t="s">
        <v>608</v>
      </c>
      <c r="C92" s="3" t="s">
        <v>674</v>
      </c>
      <c r="D92" s="3" t="s">
        <v>175</v>
      </c>
      <c r="E92" s="3" t="s">
        <v>176</v>
      </c>
      <c r="F92" s="3" t="s">
        <v>177</v>
      </c>
      <c r="G92" s="3" t="s">
        <v>675</v>
      </c>
      <c r="H92" s="3"/>
      <c r="I92" s="4">
        <v>8096684954</v>
      </c>
      <c r="J92" s="3"/>
      <c r="K92" t="b">
        <v>1</v>
      </c>
      <c r="L92" s="5">
        <v>44358</v>
      </c>
      <c r="M92" s="3" t="s">
        <v>181</v>
      </c>
      <c r="N92" s="3" t="s">
        <v>182</v>
      </c>
      <c r="O92" s="6">
        <v>44358.386990740742</v>
      </c>
      <c r="P92" s="6">
        <v>44358.386990740742</v>
      </c>
      <c r="Q92" s="3" t="s">
        <v>570</v>
      </c>
      <c r="R92" s="3" t="s">
        <v>570</v>
      </c>
      <c r="S92" s="7" t="s">
        <v>676</v>
      </c>
      <c r="T92" s="3" t="s">
        <v>170</v>
      </c>
      <c r="U92" s="3" t="s">
        <v>171</v>
      </c>
    </row>
    <row r="93" spans="1:21" ht="16" x14ac:dyDescent="0.2">
      <c r="A93" s="3" t="s">
        <v>677</v>
      </c>
      <c r="B93" s="3" t="s">
        <v>678</v>
      </c>
      <c r="C93" s="3" t="s">
        <v>679</v>
      </c>
      <c r="D93" s="3" t="s">
        <v>175</v>
      </c>
      <c r="E93" s="3" t="s">
        <v>176</v>
      </c>
      <c r="F93" s="3" t="s">
        <v>177</v>
      </c>
      <c r="G93" s="3" t="s">
        <v>680</v>
      </c>
      <c r="H93" s="3"/>
      <c r="I93" s="4">
        <v>8099978333</v>
      </c>
      <c r="J93" s="3"/>
      <c r="K93" t="b">
        <v>1</v>
      </c>
      <c r="L93" s="5">
        <v>44358</v>
      </c>
      <c r="M93" s="3" t="s">
        <v>181</v>
      </c>
      <c r="N93" s="3" t="s">
        <v>182</v>
      </c>
      <c r="O93" s="6">
        <v>44358.389861111114</v>
      </c>
      <c r="P93" s="6">
        <v>44358.389861111114</v>
      </c>
      <c r="Q93" s="3" t="s">
        <v>570</v>
      </c>
      <c r="R93" s="3" t="s">
        <v>570</v>
      </c>
      <c r="S93" s="7" t="s">
        <v>650</v>
      </c>
      <c r="T93" s="3" t="s">
        <v>170</v>
      </c>
      <c r="U93" s="3" t="s">
        <v>171</v>
      </c>
    </row>
    <row r="94" spans="1:21" ht="16" x14ac:dyDescent="0.2">
      <c r="A94" s="3" t="s">
        <v>681</v>
      </c>
      <c r="B94" s="3" t="s">
        <v>682</v>
      </c>
      <c r="C94" s="3" t="s">
        <v>683</v>
      </c>
      <c r="D94" s="3" t="s">
        <v>160</v>
      </c>
      <c r="E94" s="3" t="s">
        <v>201</v>
      </c>
      <c r="F94" s="3" t="s">
        <v>160</v>
      </c>
      <c r="G94" s="3"/>
      <c r="H94" s="3"/>
      <c r="I94" s="4">
        <v>8495422730</v>
      </c>
      <c r="J94" s="3"/>
      <c r="K94" t="b">
        <v>1</v>
      </c>
      <c r="L94" s="5">
        <v>44358</v>
      </c>
      <c r="M94" s="3" t="s">
        <v>181</v>
      </c>
      <c r="N94" s="3" t="s">
        <v>182</v>
      </c>
      <c r="O94" s="6">
        <v>44358.395972222221</v>
      </c>
      <c r="P94" s="6">
        <v>44358.395972222221</v>
      </c>
      <c r="Q94" s="3" t="s">
        <v>570</v>
      </c>
      <c r="R94" s="3" t="s">
        <v>570</v>
      </c>
      <c r="S94" s="7" t="s">
        <v>676</v>
      </c>
      <c r="T94" s="3" t="s">
        <v>170</v>
      </c>
      <c r="U94" s="3" t="s">
        <v>171</v>
      </c>
    </row>
    <row r="95" spans="1:21" x14ac:dyDescent="0.2">
      <c r="A95" s="3" t="s">
        <v>684</v>
      </c>
      <c r="B95" s="3" t="s">
        <v>685</v>
      </c>
      <c r="C95" s="3" t="s">
        <v>686</v>
      </c>
      <c r="D95" s="3" t="s">
        <v>587</v>
      </c>
      <c r="E95" s="3" t="s">
        <v>587</v>
      </c>
      <c r="F95" s="3" t="s">
        <v>587</v>
      </c>
      <c r="G95" s="3"/>
      <c r="H95" s="3"/>
      <c r="I95" s="4">
        <v>8298743343</v>
      </c>
      <c r="J95" s="3"/>
      <c r="K95" t="b">
        <v>1</v>
      </c>
      <c r="L95" s="5">
        <v>44358</v>
      </c>
      <c r="M95" s="3" t="s">
        <v>181</v>
      </c>
      <c r="N95" s="3" t="s">
        <v>182</v>
      </c>
      <c r="O95" s="6">
        <v>44469.309675925928</v>
      </c>
      <c r="P95" s="6">
        <v>44358.462361111109</v>
      </c>
      <c r="Q95" s="3" t="s">
        <v>558</v>
      </c>
      <c r="R95" s="3" t="s">
        <v>184</v>
      </c>
      <c r="S95" s="7"/>
      <c r="T95" s="3" t="s">
        <v>170</v>
      </c>
      <c r="U95" s="3" t="s">
        <v>171</v>
      </c>
    </row>
    <row r="96" spans="1:21" x14ac:dyDescent="0.2">
      <c r="A96" s="3" t="s">
        <v>687</v>
      </c>
      <c r="B96" s="3" t="s">
        <v>688</v>
      </c>
      <c r="C96" s="3" t="s">
        <v>689</v>
      </c>
      <c r="D96" s="3" t="s">
        <v>160</v>
      </c>
      <c r="E96" s="3" t="s">
        <v>201</v>
      </c>
      <c r="F96" s="3" t="s">
        <v>177</v>
      </c>
      <c r="G96" s="3"/>
      <c r="H96" s="3"/>
      <c r="I96" s="4">
        <v>8293578725</v>
      </c>
      <c r="J96" s="3"/>
      <c r="K96" t="b">
        <v>0</v>
      </c>
      <c r="L96" s="5">
        <v>44400</v>
      </c>
      <c r="M96" s="3" t="s">
        <v>181</v>
      </c>
      <c r="N96" s="3" t="s">
        <v>182</v>
      </c>
      <c r="O96" s="6">
        <v>44400.338807870372</v>
      </c>
      <c r="P96" s="6">
        <v>44358.46465277778</v>
      </c>
      <c r="Q96" s="3" t="s">
        <v>558</v>
      </c>
      <c r="R96" s="3" t="s">
        <v>184</v>
      </c>
      <c r="S96" s="7"/>
      <c r="T96" s="3" t="s">
        <v>170</v>
      </c>
      <c r="U96" s="3" t="s">
        <v>171</v>
      </c>
    </row>
    <row r="97" spans="1:21" ht="16" x14ac:dyDescent="0.2">
      <c r="A97" s="3" t="s">
        <v>690</v>
      </c>
      <c r="B97" s="3" t="s">
        <v>691</v>
      </c>
      <c r="C97" s="3" t="s">
        <v>692</v>
      </c>
      <c r="D97" s="3" t="s">
        <v>175</v>
      </c>
      <c r="E97" s="3" t="s">
        <v>161</v>
      </c>
      <c r="F97" s="3" t="s">
        <v>177</v>
      </c>
      <c r="G97" s="3" t="s">
        <v>693</v>
      </c>
      <c r="H97" s="3"/>
      <c r="I97" s="4">
        <v>8498681966</v>
      </c>
      <c r="J97" s="3"/>
      <c r="K97" t="b">
        <v>1</v>
      </c>
      <c r="L97" s="5">
        <v>44358</v>
      </c>
      <c r="M97" s="3" t="s">
        <v>181</v>
      </c>
      <c r="N97" s="3" t="s">
        <v>182</v>
      </c>
      <c r="O97" s="6">
        <v>44358.557268518518</v>
      </c>
      <c r="P97" s="6">
        <v>44358.553726851853</v>
      </c>
      <c r="Q97" s="3" t="s">
        <v>2337</v>
      </c>
      <c r="R97" s="3" t="s">
        <v>2337</v>
      </c>
      <c r="S97" s="7" t="s">
        <v>694</v>
      </c>
      <c r="T97" s="3" t="s">
        <v>170</v>
      </c>
      <c r="U97" s="3" t="s">
        <v>171</v>
      </c>
    </row>
    <row r="98" spans="1:21" ht="16" x14ac:dyDescent="0.2">
      <c r="A98" s="3" t="s">
        <v>699</v>
      </c>
      <c r="B98" s="3" t="s">
        <v>700</v>
      </c>
      <c r="C98" s="3" t="s">
        <v>701</v>
      </c>
      <c r="D98" s="3" t="s">
        <v>175</v>
      </c>
      <c r="E98" s="3" t="s">
        <v>176</v>
      </c>
      <c r="F98" s="3" t="s">
        <v>177</v>
      </c>
      <c r="G98" s="3" t="s">
        <v>702</v>
      </c>
      <c r="H98" s="3"/>
      <c r="I98" s="4">
        <v>8299780584</v>
      </c>
      <c r="J98" s="3"/>
      <c r="K98" t="b">
        <v>0</v>
      </c>
      <c r="L98" s="5">
        <v>44434</v>
      </c>
      <c r="M98" s="3" t="s">
        <v>181</v>
      </c>
      <c r="N98" s="3" t="s">
        <v>182</v>
      </c>
      <c r="O98" s="6">
        <v>44434.374027777776</v>
      </c>
      <c r="P98" s="6">
        <v>44359.341597222221</v>
      </c>
      <c r="Q98" s="3" t="s">
        <v>167</v>
      </c>
      <c r="R98" s="3" t="s">
        <v>184</v>
      </c>
      <c r="S98" s="7" t="s">
        <v>698</v>
      </c>
      <c r="T98" s="3" t="s">
        <v>170</v>
      </c>
      <c r="U98" s="3" t="s">
        <v>171</v>
      </c>
    </row>
    <row r="99" spans="1:21" ht="16" x14ac:dyDescent="0.2">
      <c r="A99" s="3" t="s">
        <v>703</v>
      </c>
      <c r="B99" s="3" t="s">
        <v>704</v>
      </c>
      <c r="C99" s="3" t="s">
        <v>705</v>
      </c>
      <c r="D99" s="3" t="s">
        <v>175</v>
      </c>
      <c r="E99" s="3" t="s">
        <v>176</v>
      </c>
      <c r="F99" s="3" t="s">
        <v>177</v>
      </c>
      <c r="G99" s="3" t="s">
        <v>706</v>
      </c>
      <c r="H99" s="3"/>
      <c r="I99" s="4">
        <v>8292072634</v>
      </c>
      <c r="J99" s="3"/>
      <c r="K99" t="b">
        <v>1</v>
      </c>
      <c r="L99" s="5">
        <v>44359</v>
      </c>
      <c r="M99" s="3" t="s">
        <v>181</v>
      </c>
      <c r="N99" s="3" t="s">
        <v>182</v>
      </c>
      <c r="O99" s="6">
        <v>44359.351145833331</v>
      </c>
      <c r="P99" s="6">
        <v>44359.351145833331</v>
      </c>
      <c r="Q99" s="3" t="s">
        <v>167</v>
      </c>
      <c r="R99" s="3" t="s">
        <v>167</v>
      </c>
      <c r="S99" s="7" t="s">
        <v>698</v>
      </c>
      <c r="T99" s="3" t="s">
        <v>170</v>
      </c>
      <c r="U99" s="3" t="s">
        <v>171</v>
      </c>
    </row>
    <row r="100" spans="1:21" ht="16" x14ac:dyDescent="0.2">
      <c r="A100" s="3" t="s">
        <v>707</v>
      </c>
      <c r="B100" s="3" t="s">
        <v>708</v>
      </c>
      <c r="C100" s="3" t="s">
        <v>709</v>
      </c>
      <c r="D100" s="3" t="s">
        <v>175</v>
      </c>
      <c r="E100" s="3" t="s">
        <v>161</v>
      </c>
      <c r="F100" s="3" t="s">
        <v>177</v>
      </c>
      <c r="G100" s="3" t="s">
        <v>710</v>
      </c>
      <c r="H100" s="3"/>
      <c r="I100" s="4">
        <v>8094217381</v>
      </c>
      <c r="J100" s="3"/>
      <c r="K100" t="b">
        <v>1</v>
      </c>
      <c r="L100" s="5">
        <v>44359</v>
      </c>
      <c r="M100" s="3" t="s">
        <v>181</v>
      </c>
      <c r="N100" s="3" t="s">
        <v>393</v>
      </c>
      <c r="O100" s="6">
        <v>44359.357870370368</v>
      </c>
      <c r="P100" s="6">
        <v>44359.357870370368</v>
      </c>
      <c r="Q100" s="3" t="s">
        <v>167</v>
      </c>
      <c r="R100" s="3" t="s">
        <v>167</v>
      </c>
      <c r="S100" s="7" t="s">
        <v>711</v>
      </c>
      <c r="T100" s="3" t="s">
        <v>170</v>
      </c>
      <c r="U100" s="3" t="s">
        <v>171</v>
      </c>
    </row>
    <row r="101" spans="1:21" ht="16" x14ac:dyDescent="0.2">
      <c r="A101" s="3" t="s">
        <v>712</v>
      </c>
      <c r="B101" s="3" t="s">
        <v>713</v>
      </c>
      <c r="C101" s="3" t="s">
        <v>714</v>
      </c>
      <c r="D101" s="3" t="s">
        <v>175</v>
      </c>
      <c r="E101" s="3" t="s">
        <v>176</v>
      </c>
      <c r="F101" s="3" t="s">
        <v>177</v>
      </c>
      <c r="G101" s="3" t="s">
        <v>715</v>
      </c>
      <c r="H101" s="3"/>
      <c r="I101" s="4">
        <v>8092301362</v>
      </c>
      <c r="J101" s="3"/>
      <c r="K101" t="b">
        <v>1</v>
      </c>
      <c r="L101" s="5">
        <v>44358</v>
      </c>
      <c r="M101" s="3" t="s">
        <v>181</v>
      </c>
      <c r="N101" s="3" t="s">
        <v>393</v>
      </c>
      <c r="O101" s="6">
        <v>44366.243564814817</v>
      </c>
      <c r="P101" s="6">
        <v>44360.678865740738</v>
      </c>
      <c r="Q101" s="3" t="s">
        <v>716</v>
      </c>
      <c r="R101" s="3" t="s">
        <v>184</v>
      </c>
      <c r="S101" s="7" t="s">
        <v>717</v>
      </c>
      <c r="T101" s="3" t="s">
        <v>170</v>
      </c>
      <c r="U101" s="3" t="s">
        <v>171</v>
      </c>
    </row>
    <row r="102" spans="1:21" ht="16" x14ac:dyDescent="0.2">
      <c r="A102" s="3" t="s">
        <v>718</v>
      </c>
      <c r="B102" s="3" t="s">
        <v>719</v>
      </c>
      <c r="C102" s="3" t="s">
        <v>720</v>
      </c>
      <c r="D102" s="3" t="s">
        <v>175</v>
      </c>
      <c r="E102" s="3" t="s">
        <v>282</v>
      </c>
      <c r="F102" s="3" t="s">
        <v>162</v>
      </c>
      <c r="G102" s="3" t="s">
        <v>721</v>
      </c>
      <c r="H102" s="3"/>
      <c r="I102" s="4">
        <v>8296451495</v>
      </c>
      <c r="J102" s="3"/>
      <c r="K102" t="b">
        <v>1</v>
      </c>
      <c r="L102" s="5">
        <v>44358</v>
      </c>
      <c r="M102" s="3" t="s">
        <v>181</v>
      </c>
      <c r="N102" s="3" t="s">
        <v>393</v>
      </c>
      <c r="O102" s="6">
        <v>44365.538321759261</v>
      </c>
      <c r="P102" s="6">
        <v>44360.68068287037</v>
      </c>
      <c r="Q102" s="3" t="s">
        <v>716</v>
      </c>
      <c r="R102" s="3" t="s">
        <v>184</v>
      </c>
      <c r="S102" s="7" t="s">
        <v>722</v>
      </c>
      <c r="T102" s="3" t="s">
        <v>170</v>
      </c>
      <c r="U102" s="3" t="s">
        <v>171</v>
      </c>
    </row>
    <row r="103" spans="1:21" ht="16" x14ac:dyDescent="0.2">
      <c r="A103" s="3" t="s">
        <v>723</v>
      </c>
      <c r="B103" s="3" t="s">
        <v>724</v>
      </c>
      <c r="C103" s="3" t="s">
        <v>725</v>
      </c>
      <c r="D103" s="3" t="s">
        <v>175</v>
      </c>
      <c r="E103" s="3" t="s">
        <v>161</v>
      </c>
      <c r="F103" s="3" t="s">
        <v>177</v>
      </c>
      <c r="G103" s="3" t="s">
        <v>726</v>
      </c>
      <c r="H103" s="3"/>
      <c r="I103" s="4">
        <v>8298636480</v>
      </c>
      <c r="J103" s="3"/>
      <c r="K103" t="b">
        <v>1</v>
      </c>
      <c r="L103" s="5">
        <v>44358</v>
      </c>
      <c r="M103" s="3" t="s">
        <v>181</v>
      </c>
      <c r="N103" s="3" t="s">
        <v>182</v>
      </c>
      <c r="O103" s="6">
        <v>44360.683171296296</v>
      </c>
      <c r="P103" s="6">
        <v>44360.683171296296</v>
      </c>
      <c r="Q103" s="3" t="s">
        <v>716</v>
      </c>
      <c r="R103" s="3" t="s">
        <v>716</v>
      </c>
      <c r="S103" s="7" t="s">
        <v>727</v>
      </c>
      <c r="T103" s="3" t="s">
        <v>170</v>
      </c>
      <c r="U103" s="3" t="s">
        <v>171</v>
      </c>
    </row>
    <row r="104" spans="1:21" ht="16" x14ac:dyDescent="0.2">
      <c r="A104" s="3" t="s">
        <v>728</v>
      </c>
      <c r="B104" s="3" t="s">
        <v>729</v>
      </c>
      <c r="C104" s="3" t="s">
        <v>730</v>
      </c>
      <c r="D104" s="3" t="s">
        <v>160</v>
      </c>
      <c r="E104" s="3" t="s">
        <v>201</v>
      </c>
      <c r="F104" s="3" t="s">
        <v>160</v>
      </c>
      <c r="G104" s="3"/>
      <c r="H104" s="3"/>
      <c r="I104" s="4">
        <v>8097185662</v>
      </c>
      <c r="J104" s="3"/>
      <c r="K104" t="b">
        <v>1</v>
      </c>
      <c r="L104" s="5">
        <v>44359</v>
      </c>
      <c r="M104" s="3" t="s">
        <v>181</v>
      </c>
      <c r="N104" s="3" t="s">
        <v>393</v>
      </c>
      <c r="O104" s="6">
        <v>44360.687824074077</v>
      </c>
      <c r="P104" s="6">
        <v>44360.687824074077</v>
      </c>
      <c r="Q104" s="3" t="s">
        <v>716</v>
      </c>
      <c r="R104" s="3" t="s">
        <v>716</v>
      </c>
      <c r="S104" s="7" t="s">
        <v>731</v>
      </c>
      <c r="T104" s="3" t="s">
        <v>170</v>
      </c>
      <c r="U104" s="3" t="s">
        <v>171</v>
      </c>
    </row>
    <row r="105" spans="1:21" ht="16" x14ac:dyDescent="0.2">
      <c r="A105" s="3" t="s">
        <v>732</v>
      </c>
      <c r="B105" s="3" t="s">
        <v>708</v>
      </c>
      <c r="C105" s="3" t="s">
        <v>733</v>
      </c>
      <c r="D105" s="3" t="s">
        <v>175</v>
      </c>
      <c r="E105" s="3" t="s">
        <v>161</v>
      </c>
      <c r="F105" s="3" t="s">
        <v>177</v>
      </c>
      <c r="G105" s="3" t="s">
        <v>710</v>
      </c>
      <c r="H105" s="3"/>
      <c r="I105" s="4">
        <v>8094217381</v>
      </c>
      <c r="J105" s="3"/>
      <c r="K105" t="b">
        <v>1</v>
      </c>
      <c r="L105" s="5">
        <v>44361</v>
      </c>
      <c r="M105" s="3" t="s">
        <v>181</v>
      </c>
      <c r="N105" s="3" t="s">
        <v>393</v>
      </c>
      <c r="O105" s="6">
        <v>44361.229884259257</v>
      </c>
      <c r="P105" s="6">
        <v>44361.229884259257</v>
      </c>
      <c r="Q105" s="3" t="s">
        <v>167</v>
      </c>
      <c r="R105" s="3" t="s">
        <v>167</v>
      </c>
      <c r="S105" s="7" t="s">
        <v>734</v>
      </c>
      <c r="T105" s="3" t="s">
        <v>170</v>
      </c>
      <c r="U105" s="3" t="s">
        <v>171</v>
      </c>
    </row>
    <row r="106" spans="1:21" ht="16" x14ac:dyDescent="0.2">
      <c r="A106" s="3" t="s">
        <v>735</v>
      </c>
      <c r="B106" s="3" t="s">
        <v>736</v>
      </c>
      <c r="C106" s="3" t="s">
        <v>737</v>
      </c>
      <c r="D106" s="3" t="s">
        <v>175</v>
      </c>
      <c r="E106" s="3" t="s">
        <v>176</v>
      </c>
      <c r="F106" s="3" t="s">
        <v>177</v>
      </c>
      <c r="G106" s="3" t="s">
        <v>738</v>
      </c>
      <c r="H106" s="3"/>
      <c r="I106" s="4">
        <v>8293214232</v>
      </c>
      <c r="J106" s="3"/>
      <c r="K106" t="b">
        <v>0</v>
      </c>
      <c r="L106" s="5">
        <v>44434</v>
      </c>
      <c r="M106" s="3" t="s">
        <v>181</v>
      </c>
      <c r="N106" s="3" t="s">
        <v>393</v>
      </c>
      <c r="O106" s="6">
        <v>44434.378819444442</v>
      </c>
      <c r="P106" s="6">
        <v>44361.233356481483</v>
      </c>
      <c r="Q106" s="3" t="s">
        <v>167</v>
      </c>
      <c r="R106" s="3" t="s">
        <v>184</v>
      </c>
      <c r="S106" s="7" t="s">
        <v>734</v>
      </c>
      <c r="T106" s="3" t="s">
        <v>170</v>
      </c>
      <c r="U106" s="3" t="s">
        <v>171</v>
      </c>
    </row>
    <row r="107" spans="1:21" ht="16" x14ac:dyDescent="0.2">
      <c r="A107" s="3" t="s">
        <v>739</v>
      </c>
      <c r="B107" s="3" t="s">
        <v>740</v>
      </c>
      <c r="C107" s="3" t="s">
        <v>741</v>
      </c>
      <c r="D107" s="3" t="s">
        <v>175</v>
      </c>
      <c r="E107" s="3" t="s">
        <v>161</v>
      </c>
      <c r="F107" s="3" t="s">
        <v>162</v>
      </c>
      <c r="G107" s="3" t="s">
        <v>742</v>
      </c>
      <c r="H107" s="3"/>
      <c r="I107" s="4">
        <v>8093875724</v>
      </c>
      <c r="J107" s="3"/>
      <c r="K107" t="b">
        <v>1</v>
      </c>
      <c r="L107" s="5">
        <v>44361</v>
      </c>
      <c r="M107" s="3" t="s">
        <v>181</v>
      </c>
      <c r="N107" s="3" t="s">
        <v>393</v>
      </c>
      <c r="O107" s="6">
        <v>44361.271226851852</v>
      </c>
      <c r="P107" s="6">
        <v>44361.261423611111</v>
      </c>
      <c r="Q107" s="3" t="s">
        <v>167</v>
      </c>
      <c r="R107" s="3" t="s">
        <v>167</v>
      </c>
      <c r="S107" s="7" t="s">
        <v>743</v>
      </c>
      <c r="T107" s="3" t="s">
        <v>170</v>
      </c>
      <c r="U107" s="3" t="s">
        <v>171</v>
      </c>
    </row>
    <row r="108" spans="1:21" ht="16" x14ac:dyDescent="0.2">
      <c r="A108" s="3" t="s">
        <v>744</v>
      </c>
      <c r="B108" s="3" t="s">
        <v>745</v>
      </c>
      <c r="C108" s="3" t="s">
        <v>746</v>
      </c>
      <c r="D108" s="3" t="s">
        <v>175</v>
      </c>
      <c r="E108" s="3" t="s">
        <v>176</v>
      </c>
      <c r="F108" s="3" t="s">
        <v>177</v>
      </c>
      <c r="G108" s="3" t="s">
        <v>747</v>
      </c>
      <c r="H108" s="3"/>
      <c r="I108" s="4">
        <v>8492516677</v>
      </c>
      <c r="J108" s="3"/>
      <c r="K108" t="b">
        <v>1</v>
      </c>
      <c r="L108" s="5">
        <v>44356</v>
      </c>
      <c r="M108" s="3" t="s">
        <v>181</v>
      </c>
      <c r="N108" s="3" t="s">
        <v>182</v>
      </c>
      <c r="O108" s="6">
        <v>44361.274907407409</v>
      </c>
      <c r="P108" s="6">
        <v>44361.274907407409</v>
      </c>
      <c r="Q108" s="3" t="s">
        <v>167</v>
      </c>
      <c r="R108" s="3" t="s">
        <v>167</v>
      </c>
      <c r="S108" s="7" t="s">
        <v>743</v>
      </c>
      <c r="T108" s="3" t="s">
        <v>170</v>
      </c>
      <c r="U108" s="3" t="s">
        <v>171</v>
      </c>
    </row>
    <row r="109" spans="1:21" ht="16" x14ac:dyDescent="0.2">
      <c r="A109" s="3" t="s">
        <v>748</v>
      </c>
      <c r="B109" s="3" t="s">
        <v>749</v>
      </c>
      <c r="C109" s="3" t="s">
        <v>750</v>
      </c>
      <c r="D109" s="3" t="s">
        <v>175</v>
      </c>
      <c r="E109" s="3" t="s">
        <v>176</v>
      </c>
      <c r="F109" s="3" t="s">
        <v>162</v>
      </c>
      <c r="G109" s="3" t="s">
        <v>751</v>
      </c>
      <c r="H109" s="3"/>
      <c r="I109" s="4">
        <v>8299850721</v>
      </c>
      <c r="J109" s="3"/>
      <c r="K109" t="b">
        <v>1</v>
      </c>
      <c r="L109" s="5">
        <v>44357</v>
      </c>
      <c r="M109" s="3" t="s">
        <v>181</v>
      </c>
      <c r="N109" s="3" t="s">
        <v>182</v>
      </c>
      <c r="O109" s="6">
        <v>44361.277951388889</v>
      </c>
      <c r="P109" s="6">
        <v>44361.277951388889</v>
      </c>
      <c r="Q109" s="3" t="s">
        <v>167</v>
      </c>
      <c r="R109" s="3" t="s">
        <v>167</v>
      </c>
      <c r="S109" s="7" t="s">
        <v>743</v>
      </c>
      <c r="T109" s="3" t="s">
        <v>170</v>
      </c>
      <c r="U109" s="3" t="s">
        <v>171</v>
      </c>
    </row>
    <row r="110" spans="1:21" ht="16" x14ac:dyDescent="0.2">
      <c r="A110" s="3" t="s">
        <v>752</v>
      </c>
      <c r="B110" s="3" t="s">
        <v>753</v>
      </c>
      <c r="C110" s="3" t="s">
        <v>754</v>
      </c>
      <c r="D110" s="3" t="s">
        <v>160</v>
      </c>
      <c r="E110" s="3" t="s">
        <v>201</v>
      </c>
      <c r="F110" s="3" t="s">
        <v>160</v>
      </c>
      <c r="G110" s="3" t="s">
        <v>587</v>
      </c>
      <c r="H110" s="3" t="s">
        <v>755</v>
      </c>
      <c r="I110" s="4">
        <v>8295701971</v>
      </c>
      <c r="J110" s="3"/>
      <c r="K110" t="b">
        <v>0</v>
      </c>
      <c r="L110" s="5">
        <v>44434</v>
      </c>
      <c r="M110" s="3" t="s">
        <v>181</v>
      </c>
      <c r="N110" s="3" t="s">
        <v>393</v>
      </c>
      <c r="O110" s="6">
        <v>44434.343171296299</v>
      </c>
      <c r="P110" s="6">
        <v>44361.336678240739</v>
      </c>
      <c r="Q110" s="3" t="s">
        <v>167</v>
      </c>
      <c r="R110" s="3" t="s">
        <v>184</v>
      </c>
      <c r="S110" s="7" t="s">
        <v>734</v>
      </c>
      <c r="T110" s="3" t="s">
        <v>170</v>
      </c>
      <c r="U110" s="3" t="s">
        <v>171</v>
      </c>
    </row>
    <row r="111" spans="1:21" x14ac:dyDescent="0.2">
      <c r="A111" s="3" t="s">
        <v>756</v>
      </c>
      <c r="B111" s="3" t="s">
        <v>757</v>
      </c>
      <c r="C111" s="3" t="s">
        <v>758</v>
      </c>
      <c r="D111" s="3" t="s">
        <v>175</v>
      </c>
      <c r="E111" s="3" t="s">
        <v>161</v>
      </c>
      <c r="F111" s="3" t="s">
        <v>177</v>
      </c>
      <c r="G111" s="3" t="s">
        <v>759</v>
      </c>
      <c r="H111" s="3"/>
      <c r="I111" s="4">
        <v>8294509373</v>
      </c>
      <c r="J111" s="3"/>
      <c r="K111" t="b">
        <v>1</v>
      </c>
      <c r="L111" s="5">
        <v>44434</v>
      </c>
      <c r="M111" s="3" t="s">
        <v>181</v>
      </c>
      <c r="N111" s="3" t="s">
        <v>760</v>
      </c>
      <c r="O111" s="6">
        <v>44483.409074074072</v>
      </c>
      <c r="P111" s="6">
        <v>44362.286446759259</v>
      </c>
      <c r="Q111" s="3" t="s">
        <v>2337</v>
      </c>
      <c r="R111" s="3" t="s">
        <v>184</v>
      </c>
      <c r="S111" s="7"/>
      <c r="T111" s="3" t="s">
        <v>170</v>
      </c>
      <c r="U111" s="3" t="s">
        <v>171</v>
      </c>
    </row>
    <row r="112" spans="1:21" ht="16" x14ac:dyDescent="0.2">
      <c r="A112" s="3" t="s">
        <v>761</v>
      </c>
      <c r="B112" s="3" t="s">
        <v>762</v>
      </c>
      <c r="C112" s="3" t="s">
        <v>763</v>
      </c>
      <c r="D112" s="3" t="s">
        <v>175</v>
      </c>
      <c r="E112" s="3" t="s">
        <v>176</v>
      </c>
      <c r="F112" s="3" t="s">
        <v>177</v>
      </c>
      <c r="G112" s="3" t="s">
        <v>764</v>
      </c>
      <c r="H112" s="3" t="s">
        <v>765</v>
      </c>
      <c r="I112" s="4">
        <v>8097157046</v>
      </c>
      <c r="J112" s="3"/>
      <c r="K112" t="b">
        <v>1</v>
      </c>
      <c r="L112" s="5">
        <v>44362</v>
      </c>
      <c r="M112" s="3" t="s">
        <v>181</v>
      </c>
      <c r="N112" s="3" t="s">
        <v>393</v>
      </c>
      <c r="O112" s="6">
        <v>44362.354490740741</v>
      </c>
      <c r="P112" s="6">
        <v>44362.354490740741</v>
      </c>
      <c r="Q112" s="3" t="s">
        <v>577</v>
      </c>
      <c r="R112" s="3" t="s">
        <v>577</v>
      </c>
      <c r="S112" s="7" t="s">
        <v>766</v>
      </c>
      <c r="T112" s="3" t="s">
        <v>170</v>
      </c>
      <c r="U112" s="3" t="s">
        <v>171</v>
      </c>
    </row>
    <row r="113" spans="1:21" ht="16" x14ac:dyDescent="0.2">
      <c r="A113" s="3" t="s">
        <v>767</v>
      </c>
      <c r="B113" s="3" t="s">
        <v>768</v>
      </c>
      <c r="C113" s="3" t="s">
        <v>769</v>
      </c>
      <c r="D113" s="3" t="s">
        <v>175</v>
      </c>
      <c r="E113" s="3" t="s">
        <v>176</v>
      </c>
      <c r="F113" s="3" t="s">
        <v>177</v>
      </c>
      <c r="G113" s="3" t="s">
        <v>770</v>
      </c>
      <c r="H113" s="3"/>
      <c r="I113" s="4">
        <v>8099695894</v>
      </c>
      <c r="J113" s="3"/>
      <c r="K113" t="b">
        <v>0</v>
      </c>
      <c r="L113" s="5">
        <v>44434</v>
      </c>
      <c r="M113" s="3" t="s">
        <v>181</v>
      </c>
      <c r="N113" s="3" t="s">
        <v>182</v>
      </c>
      <c r="O113" s="6">
        <v>44434.35728009259</v>
      </c>
      <c r="P113" s="6">
        <v>44362.501273148147</v>
      </c>
      <c r="Q113" s="3" t="s">
        <v>167</v>
      </c>
      <c r="R113" s="3" t="s">
        <v>184</v>
      </c>
      <c r="S113" s="7" t="s">
        <v>711</v>
      </c>
      <c r="T113" s="3" t="s">
        <v>170</v>
      </c>
      <c r="U113" s="3" t="s">
        <v>171</v>
      </c>
    </row>
    <row r="114" spans="1:21" ht="16" x14ac:dyDescent="0.2">
      <c r="A114" s="3" t="s">
        <v>771</v>
      </c>
      <c r="B114" s="3" t="s">
        <v>772</v>
      </c>
      <c r="C114" s="3" t="s">
        <v>773</v>
      </c>
      <c r="D114" s="3" t="s">
        <v>175</v>
      </c>
      <c r="E114" s="3" t="s">
        <v>176</v>
      </c>
      <c r="F114" s="3" t="s">
        <v>177</v>
      </c>
      <c r="G114" s="3" t="s">
        <v>774</v>
      </c>
      <c r="H114" s="3"/>
      <c r="I114" s="4">
        <v>8094073791</v>
      </c>
      <c r="J114" s="3"/>
      <c r="K114" t="b">
        <v>1</v>
      </c>
      <c r="L114" s="5">
        <v>44362</v>
      </c>
      <c r="M114" s="3" t="s">
        <v>181</v>
      </c>
      <c r="N114" s="3" t="s">
        <v>182</v>
      </c>
      <c r="O114" s="6">
        <v>44362.625555555554</v>
      </c>
      <c r="P114" s="6">
        <v>44362.625555555554</v>
      </c>
      <c r="Q114" s="3" t="s">
        <v>577</v>
      </c>
      <c r="R114" s="3" t="s">
        <v>577</v>
      </c>
      <c r="S114" s="7" t="s">
        <v>775</v>
      </c>
      <c r="T114" s="3" t="s">
        <v>170</v>
      </c>
      <c r="U114" s="3" t="s">
        <v>171</v>
      </c>
    </row>
    <row r="115" spans="1:21" ht="16" x14ac:dyDescent="0.2">
      <c r="A115" s="3" t="s">
        <v>776</v>
      </c>
      <c r="B115" s="3" t="s">
        <v>777</v>
      </c>
      <c r="C115" s="3" t="s">
        <v>778</v>
      </c>
      <c r="D115" s="3" t="s">
        <v>175</v>
      </c>
      <c r="E115" s="3" t="s">
        <v>176</v>
      </c>
      <c r="F115" s="3" t="s">
        <v>177</v>
      </c>
      <c r="G115" s="3" t="s">
        <v>779</v>
      </c>
      <c r="H115" s="3" t="s">
        <v>44</v>
      </c>
      <c r="I115" s="4">
        <v>8094082715</v>
      </c>
      <c r="J115" s="3"/>
      <c r="K115" t="b">
        <v>0</v>
      </c>
      <c r="L115" s="5">
        <v>44434</v>
      </c>
      <c r="M115" s="3" t="s">
        <v>181</v>
      </c>
      <c r="N115" s="3" t="s">
        <v>182</v>
      </c>
      <c r="O115" s="6">
        <v>44434.333240740743</v>
      </c>
      <c r="P115" s="6">
        <v>44363.482974537037</v>
      </c>
      <c r="Q115" s="3" t="s">
        <v>780</v>
      </c>
      <c r="R115" s="3" t="s">
        <v>184</v>
      </c>
      <c r="S115" s="7" t="s">
        <v>781</v>
      </c>
      <c r="T115" s="3" t="s">
        <v>170</v>
      </c>
      <c r="U115" s="3" t="s">
        <v>171</v>
      </c>
    </row>
    <row r="116" spans="1:21" ht="16" x14ac:dyDescent="0.2">
      <c r="A116" s="3" t="s">
        <v>782</v>
      </c>
      <c r="B116" s="3" t="s">
        <v>783</v>
      </c>
      <c r="C116" s="3" t="s">
        <v>784</v>
      </c>
      <c r="D116" s="3" t="s">
        <v>175</v>
      </c>
      <c r="E116" s="3" t="s">
        <v>176</v>
      </c>
      <c r="F116" s="3" t="s">
        <v>177</v>
      </c>
      <c r="G116" s="3" t="s">
        <v>785</v>
      </c>
      <c r="H116" s="3" t="s">
        <v>39</v>
      </c>
      <c r="I116" s="4">
        <v>8292783274</v>
      </c>
      <c r="J116" s="3"/>
      <c r="K116" t="b">
        <v>0</v>
      </c>
      <c r="L116" s="5">
        <v>44434</v>
      </c>
      <c r="M116" s="3" t="s">
        <v>181</v>
      </c>
      <c r="N116" s="3" t="s">
        <v>182</v>
      </c>
      <c r="O116" s="6">
        <v>44434.377384259256</v>
      </c>
      <c r="P116" s="6">
        <v>44363.521921296298</v>
      </c>
      <c r="Q116" s="3" t="s">
        <v>780</v>
      </c>
      <c r="R116" s="3" t="s">
        <v>184</v>
      </c>
      <c r="S116" s="7" t="s">
        <v>781</v>
      </c>
      <c r="T116" s="3" t="s">
        <v>170</v>
      </c>
      <c r="U116" s="3" t="s">
        <v>171</v>
      </c>
    </row>
    <row r="117" spans="1:21" ht="16" x14ac:dyDescent="0.2">
      <c r="A117" s="3" t="s">
        <v>786</v>
      </c>
      <c r="B117" s="3" t="s">
        <v>787</v>
      </c>
      <c r="C117" s="3" t="s">
        <v>788</v>
      </c>
      <c r="D117" s="3" t="s">
        <v>175</v>
      </c>
      <c r="E117" s="3" t="s">
        <v>282</v>
      </c>
      <c r="F117" s="3" t="s">
        <v>177</v>
      </c>
      <c r="G117" s="3" t="s">
        <v>789</v>
      </c>
      <c r="H117" s="3" t="s">
        <v>790</v>
      </c>
      <c r="I117" s="4">
        <v>8099534411</v>
      </c>
      <c r="J117" s="3"/>
      <c r="K117" t="b">
        <v>1</v>
      </c>
      <c r="L117" s="5">
        <v>44337</v>
      </c>
      <c r="M117" s="3" t="s">
        <v>181</v>
      </c>
      <c r="N117" s="3" t="s">
        <v>393</v>
      </c>
      <c r="O117" s="6">
        <v>44363.758206018516</v>
      </c>
      <c r="P117" s="6">
        <v>44363.758206018516</v>
      </c>
      <c r="Q117" s="3" t="s">
        <v>780</v>
      </c>
      <c r="R117" s="3" t="s">
        <v>780</v>
      </c>
      <c r="S117" s="7" t="s">
        <v>791</v>
      </c>
      <c r="T117" s="3" t="s">
        <v>170</v>
      </c>
      <c r="U117" s="3" t="s">
        <v>171</v>
      </c>
    </row>
    <row r="118" spans="1:21" ht="16" x14ac:dyDescent="0.2">
      <c r="A118" s="3" t="s">
        <v>792</v>
      </c>
      <c r="B118" s="3" t="s">
        <v>793</v>
      </c>
      <c r="C118" s="3" t="s">
        <v>794</v>
      </c>
      <c r="D118" s="3" t="s">
        <v>175</v>
      </c>
      <c r="E118" s="3" t="s">
        <v>176</v>
      </c>
      <c r="F118" s="3" t="s">
        <v>177</v>
      </c>
      <c r="G118" s="3" t="s">
        <v>795</v>
      </c>
      <c r="H118" s="3"/>
      <c r="I118" s="4">
        <v>8099190931</v>
      </c>
      <c r="J118" s="3"/>
      <c r="K118" t="b">
        <v>0</v>
      </c>
      <c r="L118" s="5">
        <v>44378</v>
      </c>
      <c r="M118" s="3" t="s">
        <v>181</v>
      </c>
      <c r="N118" s="3" t="s">
        <v>393</v>
      </c>
      <c r="O118" s="6">
        <v>44378.220648148148</v>
      </c>
      <c r="P118" s="6">
        <v>44363.791493055556</v>
      </c>
      <c r="Q118" s="3" t="s">
        <v>780</v>
      </c>
      <c r="R118" s="3" t="s">
        <v>184</v>
      </c>
      <c r="S118" s="7" t="s">
        <v>796</v>
      </c>
      <c r="T118" s="3" t="s">
        <v>170</v>
      </c>
      <c r="U118" s="3" t="s">
        <v>171</v>
      </c>
    </row>
    <row r="119" spans="1:21" ht="16" x14ac:dyDescent="0.2">
      <c r="A119" s="3" t="s">
        <v>797</v>
      </c>
      <c r="B119" s="3" t="s">
        <v>280</v>
      </c>
      <c r="C119" s="3" t="s">
        <v>686</v>
      </c>
      <c r="D119" s="3" t="s">
        <v>175</v>
      </c>
      <c r="E119" s="3" t="s">
        <v>176</v>
      </c>
      <c r="F119" s="3" t="s">
        <v>177</v>
      </c>
      <c r="G119" s="3" t="s">
        <v>798</v>
      </c>
      <c r="H119" s="3"/>
      <c r="I119" s="4">
        <v>8497505535</v>
      </c>
      <c r="J119" s="3"/>
      <c r="K119" t="b">
        <v>1</v>
      </c>
      <c r="L119" s="5">
        <v>44361</v>
      </c>
      <c r="M119" s="3" t="s">
        <v>181</v>
      </c>
      <c r="N119" s="3" t="s">
        <v>393</v>
      </c>
      <c r="O119" s="6">
        <v>44364.441840277781</v>
      </c>
      <c r="P119" s="6">
        <v>44363.832372685189</v>
      </c>
      <c r="Q119" s="3" t="s">
        <v>780</v>
      </c>
      <c r="R119" s="3" t="s">
        <v>184</v>
      </c>
      <c r="S119" s="7" t="s">
        <v>799</v>
      </c>
      <c r="T119" s="3" t="s">
        <v>170</v>
      </c>
      <c r="U119" s="3" t="s">
        <v>171</v>
      </c>
    </row>
    <row r="120" spans="1:21" ht="16" x14ac:dyDescent="0.2">
      <c r="A120" s="3" t="s">
        <v>800</v>
      </c>
      <c r="B120" s="3" t="s">
        <v>801</v>
      </c>
      <c r="C120" s="3" t="s">
        <v>485</v>
      </c>
      <c r="D120" s="3" t="s">
        <v>175</v>
      </c>
      <c r="E120" s="3" t="s">
        <v>176</v>
      </c>
      <c r="F120" s="3" t="s">
        <v>177</v>
      </c>
      <c r="G120" s="3" t="s">
        <v>802</v>
      </c>
      <c r="H120" s="3"/>
      <c r="I120" s="4">
        <v>8099894273</v>
      </c>
      <c r="J120" s="3"/>
      <c r="K120" t="b">
        <v>1</v>
      </c>
      <c r="L120" s="5">
        <v>44317</v>
      </c>
      <c r="M120" s="3" t="s">
        <v>181</v>
      </c>
      <c r="N120" s="3" t="s">
        <v>182</v>
      </c>
      <c r="O120" s="6">
        <v>44364.300092592595</v>
      </c>
      <c r="P120" s="6">
        <v>44364.300092592595</v>
      </c>
      <c r="Q120" s="3" t="s">
        <v>167</v>
      </c>
      <c r="R120" s="3" t="s">
        <v>167</v>
      </c>
      <c r="S120" s="7" t="s">
        <v>734</v>
      </c>
      <c r="T120" s="3" t="s">
        <v>170</v>
      </c>
      <c r="U120" s="3" t="s">
        <v>171</v>
      </c>
    </row>
    <row r="121" spans="1:21" ht="16" x14ac:dyDescent="0.2">
      <c r="A121" s="3" t="s">
        <v>803</v>
      </c>
      <c r="B121" s="3" t="s">
        <v>804</v>
      </c>
      <c r="C121" s="3" t="s">
        <v>414</v>
      </c>
      <c r="D121" s="3" t="s">
        <v>175</v>
      </c>
      <c r="E121" s="3" t="s">
        <v>176</v>
      </c>
      <c r="F121" s="3" t="s">
        <v>177</v>
      </c>
      <c r="G121" s="3" t="s">
        <v>805</v>
      </c>
      <c r="H121" s="3"/>
      <c r="I121" s="4">
        <v>8098161269</v>
      </c>
      <c r="J121" s="3"/>
      <c r="K121" t="b">
        <v>1</v>
      </c>
      <c r="L121" s="5">
        <v>44390</v>
      </c>
      <c r="M121" s="3" t="s">
        <v>181</v>
      </c>
      <c r="N121" s="3" t="s">
        <v>182</v>
      </c>
      <c r="O121" s="6">
        <v>44390.562141203707</v>
      </c>
      <c r="P121" s="6">
        <v>44364.503611111111</v>
      </c>
      <c r="Q121" s="3" t="s">
        <v>167</v>
      </c>
      <c r="R121" s="3" t="s">
        <v>184</v>
      </c>
      <c r="S121" s="7" t="s">
        <v>698</v>
      </c>
      <c r="T121" s="3" t="s">
        <v>170</v>
      </c>
      <c r="U121" s="3" t="s">
        <v>171</v>
      </c>
    </row>
    <row r="122" spans="1:21" ht="16" x14ac:dyDescent="0.2">
      <c r="A122" s="3" t="s">
        <v>806</v>
      </c>
      <c r="B122" s="3" t="s">
        <v>807</v>
      </c>
      <c r="C122" s="3" t="s">
        <v>808</v>
      </c>
      <c r="D122" s="3" t="s">
        <v>175</v>
      </c>
      <c r="E122" s="3" t="s">
        <v>176</v>
      </c>
      <c r="F122" s="3" t="s">
        <v>177</v>
      </c>
      <c r="G122" s="3" t="s">
        <v>809</v>
      </c>
      <c r="H122" s="3"/>
      <c r="I122" s="4">
        <v>8099183213</v>
      </c>
      <c r="J122" s="3"/>
      <c r="K122" t="b">
        <v>1</v>
      </c>
      <c r="L122" s="5">
        <v>44348</v>
      </c>
      <c r="M122" s="3" t="s">
        <v>181</v>
      </c>
      <c r="N122" s="3" t="s">
        <v>393</v>
      </c>
      <c r="O122" s="6">
        <v>44364.509189814817</v>
      </c>
      <c r="P122" s="6">
        <v>44364.509189814817</v>
      </c>
      <c r="Q122" s="3" t="s">
        <v>167</v>
      </c>
      <c r="R122" s="3" t="s">
        <v>167</v>
      </c>
      <c r="S122" s="7" t="s">
        <v>698</v>
      </c>
      <c r="T122" s="3" t="s">
        <v>170</v>
      </c>
      <c r="U122" s="3" t="s">
        <v>171</v>
      </c>
    </row>
    <row r="123" spans="1:21" ht="16" x14ac:dyDescent="0.2">
      <c r="A123" s="3" t="s">
        <v>810</v>
      </c>
      <c r="B123" s="3" t="s">
        <v>695</v>
      </c>
      <c r="C123" s="3" t="s">
        <v>696</v>
      </c>
      <c r="D123" s="3" t="s">
        <v>175</v>
      </c>
      <c r="E123" s="3" t="s">
        <v>176</v>
      </c>
      <c r="F123" s="3" t="s">
        <v>177</v>
      </c>
      <c r="G123" s="3" t="s">
        <v>697</v>
      </c>
      <c r="H123" s="3"/>
      <c r="I123" s="4">
        <v>8292978133</v>
      </c>
      <c r="J123" s="3"/>
      <c r="K123" t="b">
        <v>1</v>
      </c>
      <c r="L123" s="5">
        <v>44356</v>
      </c>
      <c r="M123" s="3" t="s">
        <v>181</v>
      </c>
      <c r="N123" s="3" t="s">
        <v>393</v>
      </c>
      <c r="O123" s="6">
        <v>44364.511736111112</v>
      </c>
      <c r="P123" s="6">
        <v>44364.511736111112</v>
      </c>
      <c r="Q123" s="3" t="s">
        <v>167</v>
      </c>
      <c r="R123" s="3" t="s">
        <v>167</v>
      </c>
      <c r="S123" s="7" t="s">
        <v>698</v>
      </c>
      <c r="T123" s="3" t="s">
        <v>170</v>
      </c>
      <c r="U123" s="3" t="s">
        <v>171</v>
      </c>
    </row>
    <row r="124" spans="1:21" x14ac:dyDescent="0.2">
      <c r="A124" s="3" t="s">
        <v>811</v>
      </c>
      <c r="B124" s="3" t="s">
        <v>812</v>
      </c>
      <c r="C124" s="3" t="s">
        <v>813</v>
      </c>
      <c r="D124" s="3" t="s">
        <v>175</v>
      </c>
      <c r="E124" s="3" t="s">
        <v>161</v>
      </c>
      <c r="F124" s="3" t="s">
        <v>177</v>
      </c>
      <c r="G124" s="3" t="s">
        <v>814</v>
      </c>
      <c r="H124" s="3" t="s">
        <v>815</v>
      </c>
      <c r="I124" s="4">
        <v>8494564610</v>
      </c>
      <c r="J124" s="3"/>
      <c r="K124" t="b">
        <v>1</v>
      </c>
      <c r="L124" s="5">
        <v>44365</v>
      </c>
      <c r="M124" s="3" t="s">
        <v>181</v>
      </c>
      <c r="N124" s="3" t="s">
        <v>393</v>
      </c>
      <c r="O124" s="6">
        <v>44365.321018518516</v>
      </c>
      <c r="P124" s="6">
        <v>44365.321018518516</v>
      </c>
      <c r="Q124" s="3" t="s">
        <v>558</v>
      </c>
      <c r="R124" s="3" t="s">
        <v>558</v>
      </c>
      <c r="S124" s="7"/>
      <c r="T124" s="3" t="s">
        <v>170</v>
      </c>
      <c r="U124" s="3" t="s">
        <v>171</v>
      </c>
    </row>
    <row r="125" spans="1:21" ht="16" x14ac:dyDescent="0.2">
      <c r="A125" s="3" t="s">
        <v>816</v>
      </c>
      <c r="B125" s="3" t="s">
        <v>817</v>
      </c>
      <c r="C125" s="3" t="s">
        <v>818</v>
      </c>
      <c r="D125" s="3" t="s">
        <v>175</v>
      </c>
      <c r="E125" s="3" t="s">
        <v>176</v>
      </c>
      <c r="F125" s="3" t="s">
        <v>177</v>
      </c>
      <c r="G125" s="3" t="s">
        <v>819</v>
      </c>
      <c r="H125" s="3"/>
      <c r="I125" s="4">
        <v>8293486081</v>
      </c>
      <c r="J125" s="3"/>
      <c r="K125" t="b">
        <v>1</v>
      </c>
      <c r="L125" s="5">
        <v>44368</v>
      </c>
      <c r="M125" s="3" t="s">
        <v>181</v>
      </c>
      <c r="N125" s="3" t="s">
        <v>393</v>
      </c>
      <c r="O125" s="6">
        <v>44368.553796296299</v>
      </c>
      <c r="P125" s="6">
        <v>44368.553796296299</v>
      </c>
      <c r="Q125" s="3" t="s">
        <v>2337</v>
      </c>
      <c r="R125" s="3" t="s">
        <v>2337</v>
      </c>
      <c r="S125" s="7" t="s">
        <v>820</v>
      </c>
      <c r="T125" s="3" t="s">
        <v>170</v>
      </c>
      <c r="U125" s="3" t="s">
        <v>171</v>
      </c>
    </row>
    <row r="126" spans="1:21" ht="16" x14ac:dyDescent="0.2">
      <c r="A126" s="3" t="s">
        <v>821</v>
      </c>
      <c r="B126" s="3" t="s">
        <v>822</v>
      </c>
      <c r="C126" s="3" t="s">
        <v>823</v>
      </c>
      <c r="D126" s="3" t="s">
        <v>175</v>
      </c>
      <c r="E126" s="3" t="s">
        <v>176</v>
      </c>
      <c r="F126" s="3" t="s">
        <v>177</v>
      </c>
      <c r="G126" s="3" t="s">
        <v>824</v>
      </c>
      <c r="H126" s="3" t="s">
        <v>825</v>
      </c>
      <c r="I126" s="4">
        <v>8293221551</v>
      </c>
      <c r="J126" s="3"/>
      <c r="K126" t="b">
        <v>1</v>
      </c>
      <c r="L126" s="5">
        <v>44354</v>
      </c>
      <c r="M126" s="3" t="s">
        <v>165</v>
      </c>
      <c r="N126" s="3" t="s">
        <v>393</v>
      </c>
      <c r="O126" s="6">
        <v>44369.513055555559</v>
      </c>
      <c r="P126" s="6">
        <v>44369.513055555559</v>
      </c>
      <c r="Q126" s="3" t="s">
        <v>2337</v>
      </c>
      <c r="R126" s="3" t="s">
        <v>2337</v>
      </c>
      <c r="S126" s="7" t="s">
        <v>826</v>
      </c>
      <c r="T126" s="3" t="s">
        <v>170</v>
      </c>
      <c r="U126" s="3" t="s">
        <v>171</v>
      </c>
    </row>
    <row r="127" spans="1:21" ht="16" x14ac:dyDescent="0.2">
      <c r="A127" s="3" t="s">
        <v>827</v>
      </c>
      <c r="B127" s="3" t="s">
        <v>828</v>
      </c>
      <c r="C127" s="3" t="s">
        <v>829</v>
      </c>
      <c r="D127" s="3" t="s">
        <v>175</v>
      </c>
      <c r="E127" s="3" t="s">
        <v>176</v>
      </c>
      <c r="F127" s="3" t="s">
        <v>177</v>
      </c>
      <c r="G127" s="3" t="s">
        <v>830</v>
      </c>
      <c r="H127" s="3"/>
      <c r="I127" s="4">
        <v>8296067175</v>
      </c>
      <c r="J127" s="3"/>
      <c r="K127" t="b">
        <v>1</v>
      </c>
      <c r="L127" s="5">
        <v>44368</v>
      </c>
      <c r="M127" s="3" t="s">
        <v>181</v>
      </c>
      <c r="N127" s="3" t="s">
        <v>393</v>
      </c>
      <c r="O127" s="6">
        <v>44371.36037037037</v>
      </c>
      <c r="P127" s="6">
        <v>44371.36037037037</v>
      </c>
      <c r="Q127" s="3" t="s">
        <v>577</v>
      </c>
      <c r="R127" s="3" t="s">
        <v>577</v>
      </c>
      <c r="S127" s="7" t="s">
        <v>831</v>
      </c>
      <c r="T127" s="3" t="s">
        <v>170</v>
      </c>
      <c r="U127" s="3" t="s">
        <v>171</v>
      </c>
    </row>
    <row r="128" spans="1:21" ht="16" x14ac:dyDescent="0.2">
      <c r="A128" s="3" t="s">
        <v>832</v>
      </c>
      <c r="B128" s="3" t="s">
        <v>833</v>
      </c>
      <c r="C128" s="3" t="s">
        <v>834</v>
      </c>
      <c r="D128" s="3" t="s">
        <v>175</v>
      </c>
      <c r="E128" s="3" t="s">
        <v>176</v>
      </c>
      <c r="F128" s="3" t="s">
        <v>177</v>
      </c>
      <c r="G128" s="3" t="s">
        <v>835</v>
      </c>
      <c r="H128" s="3" t="s">
        <v>836</v>
      </c>
      <c r="I128" s="4">
        <v>8097814351</v>
      </c>
      <c r="J128" s="3"/>
      <c r="K128" t="b">
        <v>0</v>
      </c>
      <c r="L128" s="5">
        <v>44432</v>
      </c>
      <c r="M128" s="3" t="s">
        <v>181</v>
      </c>
      <c r="N128" s="3" t="s">
        <v>393</v>
      </c>
      <c r="O128" s="6">
        <v>44432.293171296296</v>
      </c>
      <c r="P128" s="6">
        <v>44371.423067129632</v>
      </c>
      <c r="Q128" s="3" t="s">
        <v>577</v>
      </c>
      <c r="R128" s="3" t="s">
        <v>184</v>
      </c>
      <c r="S128" s="7" t="s">
        <v>589</v>
      </c>
      <c r="T128" s="3" t="s">
        <v>170</v>
      </c>
      <c r="U128" s="3" t="s">
        <v>171</v>
      </c>
    </row>
    <row r="129" spans="1:21" ht="16" x14ac:dyDescent="0.2">
      <c r="A129" s="3" t="s">
        <v>837</v>
      </c>
      <c r="B129" s="3" t="s">
        <v>838</v>
      </c>
      <c r="C129" s="3" t="s">
        <v>839</v>
      </c>
      <c r="D129" s="3" t="s">
        <v>175</v>
      </c>
      <c r="E129" s="3" t="s">
        <v>176</v>
      </c>
      <c r="F129" s="3" t="s">
        <v>177</v>
      </c>
      <c r="G129" s="3" t="s">
        <v>840</v>
      </c>
      <c r="H129" s="3"/>
      <c r="I129" s="4">
        <v>8097097575</v>
      </c>
      <c r="J129" s="3"/>
      <c r="K129" t="b">
        <v>1</v>
      </c>
      <c r="L129" s="5">
        <v>44376</v>
      </c>
      <c r="M129" s="3" t="s">
        <v>181</v>
      </c>
      <c r="N129" s="3" t="s">
        <v>182</v>
      </c>
      <c r="O129" s="6">
        <v>44376.363136574073</v>
      </c>
      <c r="P129" s="6">
        <v>44375.311689814815</v>
      </c>
      <c r="Q129" s="3" t="s">
        <v>2337</v>
      </c>
      <c r="R129" s="3" t="s">
        <v>2337</v>
      </c>
      <c r="S129" s="7" t="s">
        <v>841</v>
      </c>
      <c r="T129" s="3" t="s">
        <v>170</v>
      </c>
      <c r="U129" s="3" t="s">
        <v>171</v>
      </c>
    </row>
    <row r="130" spans="1:21" ht="16" x14ac:dyDescent="0.2">
      <c r="A130" s="3" t="s">
        <v>842</v>
      </c>
      <c r="B130" s="3" t="s">
        <v>843</v>
      </c>
      <c r="C130" s="3" t="s">
        <v>844</v>
      </c>
      <c r="D130" s="3" t="s">
        <v>175</v>
      </c>
      <c r="E130" s="3" t="s">
        <v>176</v>
      </c>
      <c r="F130" s="3" t="s">
        <v>177</v>
      </c>
      <c r="G130" s="3" t="s">
        <v>845</v>
      </c>
      <c r="H130" s="3"/>
      <c r="I130" s="4">
        <v>8295841714</v>
      </c>
      <c r="J130" s="3"/>
      <c r="K130" t="b">
        <v>1</v>
      </c>
      <c r="L130" s="5">
        <v>44376</v>
      </c>
      <c r="M130" s="3" t="s">
        <v>181</v>
      </c>
      <c r="N130" s="3" t="s">
        <v>393</v>
      </c>
      <c r="O130" s="6">
        <v>44376.244837962964</v>
      </c>
      <c r="P130" s="6">
        <v>44376.244837962964</v>
      </c>
      <c r="Q130" s="3" t="s">
        <v>570</v>
      </c>
      <c r="R130" s="3" t="s">
        <v>570</v>
      </c>
      <c r="S130" s="7" t="s">
        <v>846</v>
      </c>
      <c r="T130" s="3" t="s">
        <v>170</v>
      </c>
      <c r="U130" s="3" t="s">
        <v>171</v>
      </c>
    </row>
    <row r="131" spans="1:21" ht="16" x14ac:dyDescent="0.2">
      <c r="A131" s="3" t="s">
        <v>847</v>
      </c>
      <c r="B131" s="3" t="s">
        <v>848</v>
      </c>
      <c r="C131" s="3" t="s">
        <v>849</v>
      </c>
      <c r="D131" s="3" t="s">
        <v>175</v>
      </c>
      <c r="E131" s="3" t="s">
        <v>282</v>
      </c>
      <c r="F131" s="3" t="s">
        <v>177</v>
      </c>
      <c r="G131" s="3" t="s">
        <v>850</v>
      </c>
      <c r="H131" s="3"/>
      <c r="I131" s="4">
        <v>8099069358</v>
      </c>
      <c r="J131" s="3"/>
      <c r="K131" t="b">
        <v>1</v>
      </c>
      <c r="L131" s="5">
        <v>44376</v>
      </c>
      <c r="M131" s="3" t="s">
        <v>181</v>
      </c>
      <c r="N131" s="3" t="s">
        <v>393</v>
      </c>
      <c r="O131" s="6">
        <v>44376.338009259256</v>
      </c>
      <c r="P131" s="6">
        <v>44376.338009259256</v>
      </c>
      <c r="Q131" s="3" t="s">
        <v>570</v>
      </c>
      <c r="R131" s="3" t="s">
        <v>570</v>
      </c>
      <c r="S131" s="7" t="s">
        <v>851</v>
      </c>
      <c r="T131" s="3" t="s">
        <v>170</v>
      </c>
      <c r="U131" s="3" t="s">
        <v>171</v>
      </c>
    </row>
    <row r="132" spans="1:21" ht="16" x14ac:dyDescent="0.2">
      <c r="A132" s="3" t="s">
        <v>852</v>
      </c>
      <c r="B132" s="3" t="s">
        <v>853</v>
      </c>
      <c r="C132" s="3" t="s">
        <v>854</v>
      </c>
      <c r="D132" s="3" t="s">
        <v>175</v>
      </c>
      <c r="E132" s="3" t="s">
        <v>161</v>
      </c>
      <c r="F132" s="3" t="s">
        <v>177</v>
      </c>
      <c r="G132" s="3" t="s">
        <v>855</v>
      </c>
      <c r="H132" s="3" t="s">
        <v>856</v>
      </c>
      <c r="I132" s="4">
        <v>8098775762</v>
      </c>
      <c r="J132" s="3"/>
      <c r="K132" t="b">
        <v>1</v>
      </c>
      <c r="L132" s="5">
        <v>44377</v>
      </c>
      <c r="M132" s="3" t="s">
        <v>181</v>
      </c>
      <c r="N132" s="3" t="s">
        <v>393</v>
      </c>
      <c r="O132" s="6">
        <v>44377.274097222224</v>
      </c>
      <c r="P132" s="6">
        <v>44377.274097222224</v>
      </c>
      <c r="Q132" s="3" t="s">
        <v>780</v>
      </c>
      <c r="R132" s="3" t="s">
        <v>780</v>
      </c>
      <c r="S132" s="7" t="s">
        <v>857</v>
      </c>
      <c r="T132" s="3" t="s">
        <v>170</v>
      </c>
      <c r="U132" s="3" t="s">
        <v>171</v>
      </c>
    </row>
    <row r="133" spans="1:21" ht="16" x14ac:dyDescent="0.2">
      <c r="A133" s="3" t="s">
        <v>858</v>
      </c>
      <c r="B133" s="3" t="s">
        <v>859</v>
      </c>
      <c r="C133" s="3" t="s">
        <v>860</v>
      </c>
      <c r="D133" s="3" t="s">
        <v>175</v>
      </c>
      <c r="E133" s="3" t="s">
        <v>176</v>
      </c>
      <c r="F133" s="3" t="s">
        <v>177</v>
      </c>
      <c r="G133" s="3" t="s">
        <v>2338</v>
      </c>
      <c r="H133" s="3" t="s">
        <v>36</v>
      </c>
      <c r="I133" s="4">
        <v>8299459851</v>
      </c>
      <c r="J133" s="3"/>
      <c r="K133" t="b">
        <v>1</v>
      </c>
      <c r="L133" s="5">
        <v>44377</v>
      </c>
      <c r="M133" s="3" t="s">
        <v>181</v>
      </c>
      <c r="N133" s="3" t="s">
        <v>182</v>
      </c>
      <c r="O133" s="6">
        <v>44481.36923611111</v>
      </c>
      <c r="P133" s="6">
        <v>44377.350335648145</v>
      </c>
      <c r="Q133" s="3" t="s">
        <v>780</v>
      </c>
      <c r="R133" s="3" t="s">
        <v>184</v>
      </c>
      <c r="S133" s="7" t="s">
        <v>861</v>
      </c>
      <c r="T133" s="3" t="s">
        <v>170</v>
      </c>
      <c r="U133" s="3" t="s">
        <v>171</v>
      </c>
    </row>
    <row r="134" spans="1:21" ht="16" x14ac:dyDescent="0.2">
      <c r="A134" s="3" t="s">
        <v>862</v>
      </c>
      <c r="B134" s="3" t="s">
        <v>863</v>
      </c>
      <c r="C134" s="3" t="s">
        <v>864</v>
      </c>
      <c r="D134" s="3" t="s">
        <v>175</v>
      </c>
      <c r="E134" s="3" t="s">
        <v>176</v>
      </c>
      <c r="F134" s="3" t="s">
        <v>177</v>
      </c>
      <c r="G134" s="3" t="s">
        <v>865</v>
      </c>
      <c r="H134" s="3" t="s">
        <v>866</v>
      </c>
      <c r="I134" s="4">
        <v>8094268978</v>
      </c>
      <c r="J134" s="3"/>
      <c r="K134" t="b">
        <v>1</v>
      </c>
      <c r="L134" s="5">
        <v>44377</v>
      </c>
      <c r="M134" s="3" t="s">
        <v>181</v>
      </c>
      <c r="N134" s="3" t="s">
        <v>393</v>
      </c>
      <c r="O134" s="6">
        <v>44377.381469907406</v>
      </c>
      <c r="P134" s="6">
        <v>44377.381469907406</v>
      </c>
      <c r="Q134" s="3" t="s">
        <v>716</v>
      </c>
      <c r="R134" s="3" t="s">
        <v>716</v>
      </c>
      <c r="S134" s="7" t="s">
        <v>867</v>
      </c>
      <c r="T134" s="3" t="s">
        <v>170</v>
      </c>
      <c r="U134" s="3" t="s">
        <v>171</v>
      </c>
    </row>
    <row r="135" spans="1:21" ht="16" x14ac:dyDescent="0.2">
      <c r="A135" s="3" t="s">
        <v>868</v>
      </c>
      <c r="B135" s="3" t="s">
        <v>869</v>
      </c>
      <c r="C135" s="3" t="s">
        <v>870</v>
      </c>
      <c r="D135" s="3" t="s">
        <v>175</v>
      </c>
      <c r="E135" s="3" t="s">
        <v>176</v>
      </c>
      <c r="F135" s="3" t="s">
        <v>177</v>
      </c>
      <c r="G135" s="3" t="s">
        <v>871</v>
      </c>
      <c r="H135" s="3" t="s">
        <v>872</v>
      </c>
      <c r="I135" s="4">
        <v>8292097574</v>
      </c>
      <c r="J135" s="3"/>
      <c r="K135" t="b">
        <v>1</v>
      </c>
      <c r="L135" s="5">
        <v>44368</v>
      </c>
      <c r="M135" s="3" t="s">
        <v>181</v>
      </c>
      <c r="N135" s="3" t="s">
        <v>393</v>
      </c>
      <c r="O135" s="6">
        <v>44377.396377314813</v>
      </c>
      <c r="P135" s="6">
        <v>44377.396377314813</v>
      </c>
      <c r="Q135" s="3" t="s">
        <v>716</v>
      </c>
      <c r="R135" s="3" t="s">
        <v>716</v>
      </c>
      <c r="S135" s="7" t="s">
        <v>826</v>
      </c>
      <c r="T135" s="3" t="s">
        <v>170</v>
      </c>
      <c r="U135" s="3" t="s">
        <v>171</v>
      </c>
    </row>
    <row r="136" spans="1:21" ht="16" x14ac:dyDescent="0.2">
      <c r="A136" s="3" t="s">
        <v>873</v>
      </c>
      <c r="B136" s="3" t="s">
        <v>874</v>
      </c>
      <c r="C136" s="3" t="s">
        <v>875</v>
      </c>
      <c r="D136" s="3" t="s">
        <v>175</v>
      </c>
      <c r="E136" s="3" t="s">
        <v>176</v>
      </c>
      <c r="F136" s="3" t="s">
        <v>177</v>
      </c>
      <c r="G136" s="3" t="s">
        <v>876</v>
      </c>
      <c r="H136" s="3" t="s">
        <v>877</v>
      </c>
      <c r="I136" s="4">
        <v>8293968171</v>
      </c>
      <c r="J136" s="3"/>
      <c r="K136" t="b">
        <v>1</v>
      </c>
      <c r="L136" s="5">
        <v>44405</v>
      </c>
      <c r="M136" s="3" t="s">
        <v>181</v>
      </c>
      <c r="N136" s="3" t="s">
        <v>393</v>
      </c>
      <c r="O136" s="6">
        <v>44405.568622685183</v>
      </c>
      <c r="P136" s="6">
        <v>44377.406770833331</v>
      </c>
      <c r="Q136" s="3" t="s">
        <v>716</v>
      </c>
      <c r="R136" s="3" t="s">
        <v>2337</v>
      </c>
      <c r="S136" s="7" t="s">
        <v>878</v>
      </c>
      <c r="T136" s="3" t="s">
        <v>170</v>
      </c>
      <c r="U136" s="3" t="s">
        <v>171</v>
      </c>
    </row>
    <row r="137" spans="1:21" ht="16" x14ac:dyDescent="0.2">
      <c r="A137" s="3" t="s">
        <v>879</v>
      </c>
      <c r="B137" s="3" t="s">
        <v>603</v>
      </c>
      <c r="C137" s="3" t="s">
        <v>880</v>
      </c>
      <c r="D137" s="3" t="s">
        <v>175</v>
      </c>
      <c r="E137" s="3" t="s">
        <v>176</v>
      </c>
      <c r="F137" s="3" t="s">
        <v>177</v>
      </c>
      <c r="G137" s="3" t="s">
        <v>881</v>
      </c>
      <c r="H137" s="3" t="s">
        <v>882</v>
      </c>
      <c r="I137" s="4">
        <v>8499121829</v>
      </c>
      <c r="J137" s="3"/>
      <c r="K137" t="b">
        <v>0</v>
      </c>
      <c r="L137" s="5">
        <v>44375</v>
      </c>
      <c r="M137" s="3" t="s">
        <v>181</v>
      </c>
      <c r="N137" s="3" t="s">
        <v>182</v>
      </c>
      <c r="O137" s="6">
        <v>44481.563275462962</v>
      </c>
      <c r="P137" s="6">
        <v>44377.442326388889</v>
      </c>
      <c r="Q137" s="3" t="s">
        <v>716</v>
      </c>
      <c r="R137" s="3" t="s">
        <v>184</v>
      </c>
      <c r="S137" s="7" t="s">
        <v>883</v>
      </c>
      <c r="T137" s="3" t="s">
        <v>170</v>
      </c>
      <c r="U137" s="3" t="s">
        <v>171</v>
      </c>
    </row>
    <row r="138" spans="1:21" ht="16" x14ac:dyDescent="0.2">
      <c r="A138" s="3" t="s">
        <v>884</v>
      </c>
      <c r="B138" s="3" t="s">
        <v>885</v>
      </c>
      <c r="C138" s="3" t="s">
        <v>886</v>
      </c>
      <c r="D138" s="3" t="s">
        <v>175</v>
      </c>
      <c r="E138" s="3" t="s">
        <v>176</v>
      </c>
      <c r="F138" s="3" t="s">
        <v>177</v>
      </c>
      <c r="G138" s="3" t="s">
        <v>887</v>
      </c>
      <c r="H138" s="3"/>
      <c r="I138" s="4">
        <v>8094027554</v>
      </c>
      <c r="J138" s="3"/>
      <c r="K138" t="b">
        <v>1</v>
      </c>
      <c r="L138" s="5">
        <v>44375</v>
      </c>
      <c r="M138" s="3" t="s">
        <v>181</v>
      </c>
      <c r="N138" s="3" t="s">
        <v>393</v>
      </c>
      <c r="O138" s="6">
        <v>44377.446157407408</v>
      </c>
      <c r="P138" s="6">
        <v>44377.446157407408</v>
      </c>
      <c r="Q138" s="3" t="s">
        <v>716</v>
      </c>
      <c r="R138" s="3" t="s">
        <v>716</v>
      </c>
      <c r="S138" s="7" t="s">
        <v>888</v>
      </c>
      <c r="T138" s="3" t="s">
        <v>170</v>
      </c>
      <c r="U138" s="3" t="s">
        <v>171</v>
      </c>
    </row>
    <row r="139" spans="1:21" ht="16" x14ac:dyDescent="0.2">
      <c r="A139" s="3" t="s">
        <v>889</v>
      </c>
      <c r="B139" s="3" t="s">
        <v>890</v>
      </c>
      <c r="C139" s="3" t="s">
        <v>891</v>
      </c>
      <c r="D139" s="3" t="s">
        <v>175</v>
      </c>
      <c r="E139" s="3" t="s">
        <v>243</v>
      </c>
      <c r="F139" s="3" t="s">
        <v>177</v>
      </c>
      <c r="G139" s="3" t="s">
        <v>892</v>
      </c>
      <c r="H139" s="3" t="s">
        <v>893</v>
      </c>
      <c r="I139" s="4">
        <v>8099961173</v>
      </c>
      <c r="J139" s="3"/>
      <c r="K139" t="b">
        <v>1</v>
      </c>
      <c r="L139" s="5">
        <v>44368</v>
      </c>
      <c r="M139" s="3" t="s">
        <v>181</v>
      </c>
      <c r="N139" s="3" t="s">
        <v>393</v>
      </c>
      <c r="O139" s="6">
        <v>44378.239814814813</v>
      </c>
      <c r="P139" s="6">
        <v>44378.239814814813</v>
      </c>
      <c r="Q139" s="3" t="s">
        <v>184</v>
      </c>
      <c r="R139" s="3" t="s">
        <v>184</v>
      </c>
      <c r="S139" s="7" t="s">
        <v>826</v>
      </c>
      <c r="T139" s="3" t="s">
        <v>170</v>
      </c>
      <c r="U139" s="3" t="s">
        <v>171</v>
      </c>
    </row>
    <row r="140" spans="1:21" ht="16" x14ac:dyDescent="0.2">
      <c r="A140" s="3" t="s">
        <v>894</v>
      </c>
      <c r="B140" s="3" t="s">
        <v>895</v>
      </c>
      <c r="C140" s="3" t="s">
        <v>896</v>
      </c>
      <c r="D140" s="3" t="s">
        <v>175</v>
      </c>
      <c r="E140" s="3" t="s">
        <v>176</v>
      </c>
      <c r="F140" s="3" t="s">
        <v>177</v>
      </c>
      <c r="G140" s="3" t="s">
        <v>897</v>
      </c>
      <c r="H140" s="3"/>
      <c r="I140" s="4">
        <v>8094511825</v>
      </c>
      <c r="J140" s="3"/>
      <c r="K140" t="b">
        <v>1</v>
      </c>
      <c r="L140" s="5">
        <v>44379</v>
      </c>
      <c r="M140" s="3" t="s">
        <v>181</v>
      </c>
      <c r="N140" s="3" t="s">
        <v>182</v>
      </c>
      <c r="O140" s="6">
        <v>44379.198298611111</v>
      </c>
      <c r="P140" s="6">
        <v>44379.196111111109</v>
      </c>
      <c r="Q140" s="3" t="s">
        <v>167</v>
      </c>
      <c r="R140" s="3" t="s">
        <v>167</v>
      </c>
      <c r="S140" s="7" t="s">
        <v>898</v>
      </c>
      <c r="T140" s="3" t="s">
        <v>170</v>
      </c>
      <c r="U140" s="3" t="s">
        <v>171</v>
      </c>
    </row>
    <row r="141" spans="1:21" ht="16" x14ac:dyDescent="0.2">
      <c r="A141" s="3" t="s">
        <v>899</v>
      </c>
      <c r="B141" s="3" t="s">
        <v>900</v>
      </c>
      <c r="C141" s="3" t="s">
        <v>901</v>
      </c>
      <c r="D141" s="3" t="s">
        <v>175</v>
      </c>
      <c r="E141" s="3" t="s">
        <v>176</v>
      </c>
      <c r="F141" s="3" t="s">
        <v>177</v>
      </c>
      <c r="G141" s="3" t="s">
        <v>902</v>
      </c>
      <c r="H141" s="3" t="s">
        <v>903</v>
      </c>
      <c r="I141" s="4">
        <v>8297171763</v>
      </c>
      <c r="J141" s="3"/>
      <c r="K141" t="b">
        <v>1</v>
      </c>
      <c r="L141" s="5">
        <v>44383</v>
      </c>
      <c r="M141" s="3" t="s">
        <v>181</v>
      </c>
      <c r="N141" s="3" t="s">
        <v>393</v>
      </c>
      <c r="O141" s="6">
        <v>44383.368043981478</v>
      </c>
      <c r="P141" s="6">
        <v>44383.368043981478</v>
      </c>
      <c r="Q141" s="3" t="s">
        <v>570</v>
      </c>
      <c r="R141" s="3" t="s">
        <v>570</v>
      </c>
      <c r="S141" s="7" t="s">
        <v>676</v>
      </c>
      <c r="T141" s="3" t="s">
        <v>170</v>
      </c>
      <c r="U141" s="3" t="s">
        <v>171</v>
      </c>
    </row>
    <row r="142" spans="1:21" ht="16" x14ac:dyDescent="0.2">
      <c r="A142" s="3" t="s">
        <v>904</v>
      </c>
      <c r="B142" s="3" t="s">
        <v>905</v>
      </c>
      <c r="C142" s="3" t="s">
        <v>906</v>
      </c>
      <c r="D142" s="3" t="s">
        <v>175</v>
      </c>
      <c r="E142" s="3" t="s">
        <v>282</v>
      </c>
      <c r="F142" s="3" t="s">
        <v>177</v>
      </c>
      <c r="G142" s="3" t="s">
        <v>907</v>
      </c>
      <c r="H142" s="3"/>
      <c r="I142" s="4">
        <v>8298552091</v>
      </c>
      <c r="J142" s="3"/>
      <c r="K142" t="b">
        <v>0</v>
      </c>
      <c r="L142" s="5">
        <v>44434</v>
      </c>
      <c r="M142" s="3" t="s">
        <v>181</v>
      </c>
      <c r="N142" s="3" t="s">
        <v>182</v>
      </c>
      <c r="O142" s="6">
        <v>44434.376030092593</v>
      </c>
      <c r="P142" s="6">
        <v>44385.529907407406</v>
      </c>
      <c r="Q142" s="3" t="s">
        <v>577</v>
      </c>
      <c r="R142" s="3" t="s">
        <v>184</v>
      </c>
      <c r="S142" s="7" t="s">
        <v>908</v>
      </c>
      <c r="T142" s="3" t="s">
        <v>170</v>
      </c>
      <c r="U142" s="3" t="s">
        <v>171</v>
      </c>
    </row>
    <row r="143" spans="1:21" ht="16" x14ac:dyDescent="0.2">
      <c r="A143" s="3" t="s">
        <v>909</v>
      </c>
      <c r="B143" s="3" t="s">
        <v>910</v>
      </c>
      <c r="C143" s="3" t="s">
        <v>911</v>
      </c>
      <c r="D143" s="3" t="s">
        <v>175</v>
      </c>
      <c r="E143" s="3" t="s">
        <v>176</v>
      </c>
      <c r="F143" s="3" t="s">
        <v>177</v>
      </c>
      <c r="G143" s="3" t="s">
        <v>912</v>
      </c>
      <c r="H143" s="3"/>
      <c r="I143" s="4">
        <v>8492836362</v>
      </c>
      <c r="J143" s="3"/>
      <c r="K143" t="b">
        <v>1</v>
      </c>
      <c r="L143" s="5">
        <v>44387</v>
      </c>
      <c r="M143" s="3" t="s">
        <v>181</v>
      </c>
      <c r="N143" s="3" t="s">
        <v>182</v>
      </c>
      <c r="O143" s="6">
        <v>44387.31653935185</v>
      </c>
      <c r="P143" s="6">
        <v>44387.31653935185</v>
      </c>
      <c r="Q143" s="3" t="s">
        <v>570</v>
      </c>
      <c r="R143" s="3" t="s">
        <v>570</v>
      </c>
      <c r="S143" s="7" t="s">
        <v>662</v>
      </c>
      <c r="T143" s="3" t="s">
        <v>170</v>
      </c>
      <c r="U143" s="3" t="s">
        <v>171</v>
      </c>
    </row>
    <row r="144" spans="1:21" ht="16" x14ac:dyDescent="0.2">
      <c r="A144" s="3" t="s">
        <v>913</v>
      </c>
      <c r="B144" s="3" t="s">
        <v>914</v>
      </c>
      <c r="C144" s="3" t="s">
        <v>915</v>
      </c>
      <c r="D144" s="3" t="s">
        <v>175</v>
      </c>
      <c r="E144" s="3" t="s">
        <v>282</v>
      </c>
      <c r="F144" s="3" t="s">
        <v>177</v>
      </c>
      <c r="G144" s="3" t="s">
        <v>916</v>
      </c>
      <c r="H144" s="3" t="s">
        <v>917</v>
      </c>
      <c r="I144" s="4">
        <v>8098734711</v>
      </c>
      <c r="J144" s="3"/>
      <c r="K144" t="b">
        <v>1</v>
      </c>
      <c r="L144" s="5">
        <v>44384</v>
      </c>
      <c r="M144" s="3" t="s">
        <v>181</v>
      </c>
      <c r="N144" s="3" t="s">
        <v>393</v>
      </c>
      <c r="O144" s="6">
        <v>44389.272685185184</v>
      </c>
      <c r="P144" s="6">
        <v>44389.272685185184</v>
      </c>
      <c r="Q144" s="3" t="s">
        <v>918</v>
      </c>
      <c r="R144" s="3" t="s">
        <v>918</v>
      </c>
      <c r="S144" s="7" t="s">
        <v>919</v>
      </c>
      <c r="T144" s="3" t="s">
        <v>170</v>
      </c>
      <c r="U144" s="3" t="s">
        <v>171</v>
      </c>
    </row>
    <row r="145" spans="1:21" ht="16" x14ac:dyDescent="0.2">
      <c r="A145" s="3" t="s">
        <v>920</v>
      </c>
      <c r="B145" s="3" t="s">
        <v>921</v>
      </c>
      <c r="C145" s="3" t="s">
        <v>922</v>
      </c>
      <c r="D145" s="3" t="s">
        <v>160</v>
      </c>
      <c r="E145" s="3" t="s">
        <v>201</v>
      </c>
      <c r="F145" s="3" t="s">
        <v>160</v>
      </c>
      <c r="G145" s="3"/>
      <c r="H145" s="3"/>
      <c r="I145" s="4">
        <v>8297252363</v>
      </c>
      <c r="J145" s="3"/>
      <c r="K145" t="b">
        <v>1</v>
      </c>
      <c r="L145" s="5">
        <v>44386</v>
      </c>
      <c r="M145" s="3" t="s">
        <v>181</v>
      </c>
      <c r="N145" s="3" t="s">
        <v>393</v>
      </c>
      <c r="O145" s="6">
        <v>44389.290208333332</v>
      </c>
      <c r="P145" s="6">
        <v>44389.290208333332</v>
      </c>
      <c r="Q145" s="3" t="s">
        <v>918</v>
      </c>
      <c r="R145" s="3" t="s">
        <v>918</v>
      </c>
      <c r="S145" s="7" t="s">
        <v>923</v>
      </c>
      <c r="T145" s="3" t="s">
        <v>170</v>
      </c>
      <c r="U145" s="3" t="s">
        <v>171</v>
      </c>
    </row>
    <row r="146" spans="1:21" ht="16" x14ac:dyDescent="0.2">
      <c r="A146" s="3" t="s">
        <v>924</v>
      </c>
      <c r="B146" s="3" t="s">
        <v>925</v>
      </c>
      <c r="C146" s="3" t="s">
        <v>926</v>
      </c>
      <c r="D146" s="3" t="s">
        <v>175</v>
      </c>
      <c r="E146" s="3" t="s">
        <v>176</v>
      </c>
      <c r="F146" s="3" t="s">
        <v>177</v>
      </c>
      <c r="G146" s="3" t="s">
        <v>927</v>
      </c>
      <c r="H146" s="3"/>
      <c r="I146" s="4">
        <v>8296869643</v>
      </c>
      <c r="J146" s="3"/>
      <c r="K146" t="b">
        <v>1</v>
      </c>
      <c r="L146" s="5">
        <v>44389</v>
      </c>
      <c r="M146" s="3" t="s">
        <v>181</v>
      </c>
      <c r="N146" s="3" t="s">
        <v>182</v>
      </c>
      <c r="O146" s="6">
        <v>44389.456319444442</v>
      </c>
      <c r="P146" s="6">
        <v>44389.456319444442</v>
      </c>
      <c r="Q146" s="3" t="s">
        <v>167</v>
      </c>
      <c r="R146" s="3" t="s">
        <v>167</v>
      </c>
      <c r="S146" s="7" t="s">
        <v>796</v>
      </c>
      <c r="T146" s="3" t="s">
        <v>170</v>
      </c>
      <c r="U146" s="3" t="s">
        <v>171</v>
      </c>
    </row>
    <row r="147" spans="1:21" x14ac:dyDescent="0.2">
      <c r="A147" s="3" t="s">
        <v>928</v>
      </c>
      <c r="B147" s="3" t="s">
        <v>929</v>
      </c>
      <c r="C147" s="3" t="s">
        <v>930</v>
      </c>
      <c r="D147" s="3" t="s">
        <v>175</v>
      </c>
      <c r="E147" s="3" t="s">
        <v>282</v>
      </c>
      <c r="F147" s="3" t="s">
        <v>177</v>
      </c>
      <c r="G147" s="3" t="s">
        <v>931</v>
      </c>
      <c r="H147" s="3"/>
      <c r="I147" s="4">
        <v>8293803814</v>
      </c>
      <c r="J147" s="3"/>
      <c r="K147" t="b">
        <v>1</v>
      </c>
      <c r="L147" s="5">
        <v>44378</v>
      </c>
      <c r="M147" s="3" t="s">
        <v>181</v>
      </c>
      <c r="N147" s="3" t="s">
        <v>393</v>
      </c>
      <c r="O147" s="6">
        <v>44391.576597222222</v>
      </c>
      <c r="P147" s="6">
        <v>44391.561342592591</v>
      </c>
      <c r="Q147" s="3" t="s">
        <v>184</v>
      </c>
      <c r="R147" s="3" t="s">
        <v>184</v>
      </c>
      <c r="S147" s="7"/>
      <c r="T147" s="3" t="s">
        <v>170</v>
      </c>
      <c r="U147" s="3" t="s">
        <v>171</v>
      </c>
    </row>
    <row r="148" spans="1:21" ht="16" x14ac:dyDescent="0.2">
      <c r="A148" s="3" t="s">
        <v>932</v>
      </c>
      <c r="B148" s="3" t="s">
        <v>933</v>
      </c>
      <c r="C148" s="3" t="s">
        <v>934</v>
      </c>
      <c r="D148" s="3" t="s">
        <v>175</v>
      </c>
      <c r="E148" s="3" t="s">
        <v>176</v>
      </c>
      <c r="F148" s="3" t="s">
        <v>177</v>
      </c>
      <c r="G148" s="3" t="s">
        <v>935</v>
      </c>
      <c r="H148" s="3" t="s">
        <v>936</v>
      </c>
      <c r="I148" s="4">
        <v>8493604810</v>
      </c>
      <c r="J148" s="3"/>
      <c r="K148" t="b">
        <v>1</v>
      </c>
      <c r="L148" s="5">
        <v>44382</v>
      </c>
      <c r="M148" s="3" t="s">
        <v>181</v>
      </c>
      <c r="N148" s="3" t="s">
        <v>393</v>
      </c>
      <c r="O148" s="6">
        <v>44391.592326388891</v>
      </c>
      <c r="P148" s="6">
        <v>44391.592326388891</v>
      </c>
      <c r="Q148" s="3" t="s">
        <v>577</v>
      </c>
      <c r="R148" s="3" t="s">
        <v>577</v>
      </c>
      <c r="S148" s="7" t="s">
        <v>937</v>
      </c>
      <c r="T148" s="3" t="s">
        <v>170</v>
      </c>
      <c r="U148" s="3" t="s">
        <v>171</v>
      </c>
    </row>
    <row r="149" spans="1:21" ht="16" x14ac:dyDescent="0.2">
      <c r="A149" s="3" t="s">
        <v>938</v>
      </c>
      <c r="B149" s="3" t="s">
        <v>939</v>
      </c>
      <c r="C149" s="3" t="s">
        <v>940</v>
      </c>
      <c r="D149" s="3" t="s">
        <v>175</v>
      </c>
      <c r="E149" s="3" t="s">
        <v>176</v>
      </c>
      <c r="F149" s="3" t="s">
        <v>177</v>
      </c>
      <c r="G149" s="3" t="s">
        <v>941</v>
      </c>
      <c r="H149" s="3"/>
      <c r="I149" s="4">
        <v>8099150592</v>
      </c>
      <c r="J149" s="3"/>
      <c r="K149" t="b">
        <v>1</v>
      </c>
      <c r="L149" s="5">
        <v>44386</v>
      </c>
      <c r="M149" s="3" t="s">
        <v>181</v>
      </c>
      <c r="N149" s="3" t="s">
        <v>182</v>
      </c>
      <c r="O149" s="6">
        <v>44392.244375000002</v>
      </c>
      <c r="P149" s="6">
        <v>44392.244375000002</v>
      </c>
      <c r="Q149" s="3" t="s">
        <v>2569</v>
      </c>
      <c r="R149" s="3" t="s">
        <v>2569</v>
      </c>
      <c r="S149" s="7" t="s">
        <v>942</v>
      </c>
      <c r="T149" s="3" t="s">
        <v>170</v>
      </c>
      <c r="U149" s="3" t="s">
        <v>171</v>
      </c>
    </row>
    <row r="150" spans="1:21" ht="16" x14ac:dyDescent="0.2">
      <c r="A150" s="3" t="s">
        <v>943</v>
      </c>
      <c r="B150" s="3" t="s">
        <v>484</v>
      </c>
      <c r="C150" s="3" t="s">
        <v>944</v>
      </c>
      <c r="D150" s="3" t="s">
        <v>175</v>
      </c>
      <c r="E150" s="3" t="s">
        <v>176</v>
      </c>
      <c r="F150" s="3" t="s">
        <v>177</v>
      </c>
      <c r="G150" s="3" t="s">
        <v>945</v>
      </c>
      <c r="H150" s="3" t="s">
        <v>31</v>
      </c>
      <c r="I150" s="4">
        <v>8297439779</v>
      </c>
      <c r="J150" s="3"/>
      <c r="K150" t="b">
        <v>1</v>
      </c>
      <c r="L150" s="5">
        <v>44392</v>
      </c>
      <c r="M150" s="3" t="s">
        <v>181</v>
      </c>
      <c r="N150" s="3" t="s">
        <v>393</v>
      </c>
      <c r="O150" s="6">
        <v>44392.327337962961</v>
      </c>
      <c r="P150" s="6">
        <v>44392.327337962961</v>
      </c>
      <c r="Q150" s="3" t="s">
        <v>780</v>
      </c>
      <c r="R150" s="3" t="s">
        <v>780</v>
      </c>
      <c r="S150" s="7" t="s">
        <v>946</v>
      </c>
      <c r="T150" s="3" t="s">
        <v>170</v>
      </c>
      <c r="U150" s="3" t="s">
        <v>171</v>
      </c>
    </row>
    <row r="151" spans="1:21" x14ac:dyDescent="0.2">
      <c r="A151" s="3" t="s">
        <v>947</v>
      </c>
      <c r="B151" s="3" t="s">
        <v>948</v>
      </c>
      <c r="C151" s="3" t="s">
        <v>949</v>
      </c>
      <c r="D151" s="3" t="s">
        <v>175</v>
      </c>
      <c r="E151" s="3" t="s">
        <v>161</v>
      </c>
      <c r="F151" s="3" t="s">
        <v>177</v>
      </c>
      <c r="G151" s="3" t="s">
        <v>950</v>
      </c>
      <c r="H151" s="3"/>
      <c r="I151" s="4">
        <v>8293714811</v>
      </c>
      <c r="J151" s="3"/>
      <c r="K151" t="b">
        <v>1</v>
      </c>
      <c r="L151" s="5">
        <v>44392</v>
      </c>
      <c r="M151" s="3" t="s">
        <v>181</v>
      </c>
      <c r="N151" s="3" t="s">
        <v>393</v>
      </c>
      <c r="O151" s="6">
        <v>44392.455578703702</v>
      </c>
      <c r="P151" s="6">
        <v>44392.455578703702</v>
      </c>
      <c r="Q151" s="3" t="s">
        <v>184</v>
      </c>
      <c r="R151" s="3" t="s">
        <v>184</v>
      </c>
      <c r="S151" s="7"/>
      <c r="T151" s="3" t="s">
        <v>170</v>
      </c>
      <c r="U151" s="3" t="s">
        <v>171</v>
      </c>
    </row>
    <row r="152" spans="1:21" x14ac:dyDescent="0.2">
      <c r="A152" s="3" t="s">
        <v>951</v>
      </c>
      <c r="B152" s="3" t="s">
        <v>952</v>
      </c>
      <c r="C152" s="3" t="s">
        <v>953</v>
      </c>
      <c r="D152" s="3" t="s">
        <v>175</v>
      </c>
      <c r="E152" s="3" t="s">
        <v>282</v>
      </c>
      <c r="F152" s="3" t="s">
        <v>177</v>
      </c>
      <c r="G152" s="3" t="s">
        <v>2339</v>
      </c>
      <c r="H152" s="3"/>
      <c r="I152" s="4">
        <v>8097174567</v>
      </c>
      <c r="J152" s="3"/>
      <c r="K152" t="b">
        <v>1</v>
      </c>
      <c r="L152" s="5">
        <v>44392</v>
      </c>
      <c r="M152" s="3" t="s">
        <v>181</v>
      </c>
      <c r="N152" s="3" t="s">
        <v>393</v>
      </c>
      <c r="O152" s="6">
        <v>44481.217118055552</v>
      </c>
      <c r="P152" s="6">
        <v>44392.464502314811</v>
      </c>
      <c r="Q152" s="3" t="s">
        <v>184</v>
      </c>
      <c r="R152" s="3" t="s">
        <v>184</v>
      </c>
      <c r="S152" s="7"/>
      <c r="T152" s="3" t="s">
        <v>170</v>
      </c>
      <c r="U152" s="3" t="s">
        <v>171</v>
      </c>
    </row>
    <row r="153" spans="1:21" ht="16" x14ac:dyDescent="0.2">
      <c r="A153" s="3" t="s">
        <v>954</v>
      </c>
      <c r="B153" s="3" t="s">
        <v>955</v>
      </c>
      <c r="C153" s="3" t="s">
        <v>956</v>
      </c>
      <c r="D153" s="3" t="s">
        <v>175</v>
      </c>
      <c r="E153" s="3" t="s">
        <v>176</v>
      </c>
      <c r="F153" s="3" t="s">
        <v>177</v>
      </c>
      <c r="G153" s="3" t="s">
        <v>957</v>
      </c>
      <c r="H153" s="3" t="s">
        <v>958</v>
      </c>
      <c r="I153" s="4">
        <v>8293074348</v>
      </c>
      <c r="J153" s="3"/>
      <c r="K153" t="b">
        <v>1</v>
      </c>
      <c r="L153" s="5">
        <v>44389</v>
      </c>
      <c r="M153" s="3" t="s">
        <v>181</v>
      </c>
      <c r="N153" s="3" t="s">
        <v>393</v>
      </c>
      <c r="O153" s="6">
        <v>44392.549872685187</v>
      </c>
      <c r="P153" s="6">
        <v>44392.549872685187</v>
      </c>
      <c r="Q153" s="3" t="s">
        <v>2569</v>
      </c>
      <c r="R153" s="3" t="s">
        <v>2569</v>
      </c>
      <c r="S153" s="7" t="s">
        <v>959</v>
      </c>
      <c r="T153" s="3" t="s">
        <v>170</v>
      </c>
      <c r="U153" s="3" t="s">
        <v>171</v>
      </c>
    </row>
    <row r="154" spans="1:21" ht="16" x14ac:dyDescent="0.2">
      <c r="A154" s="3" t="s">
        <v>960</v>
      </c>
      <c r="B154" s="3" t="s">
        <v>961</v>
      </c>
      <c r="C154" s="3" t="s">
        <v>962</v>
      </c>
      <c r="D154" s="3" t="s">
        <v>175</v>
      </c>
      <c r="E154" s="3" t="s">
        <v>161</v>
      </c>
      <c r="F154" s="3" t="s">
        <v>177</v>
      </c>
      <c r="G154" s="3" t="s">
        <v>963</v>
      </c>
      <c r="H154" s="3"/>
      <c r="I154" s="4">
        <v>8098755168</v>
      </c>
      <c r="J154" s="3"/>
      <c r="K154" t="b">
        <v>1</v>
      </c>
      <c r="L154" s="5">
        <v>44384</v>
      </c>
      <c r="M154" s="3" t="s">
        <v>181</v>
      </c>
      <c r="N154" s="3" t="s">
        <v>393</v>
      </c>
      <c r="O154" s="6">
        <v>44392.600335648145</v>
      </c>
      <c r="P154" s="6">
        <v>44392.600335648145</v>
      </c>
      <c r="Q154" s="3" t="s">
        <v>184</v>
      </c>
      <c r="R154" s="3" t="s">
        <v>184</v>
      </c>
      <c r="S154" s="7" t="s">
        <v>964</v>
      </c>
      <c r="T154" s="3" t="s">
        <v>170</v>
      </c>
      <c r="U154" s="3" t="s">
        <v>171</v>
      </c>
    </row>
    <row r="155" spans="1:21" ht="16" x14ac:dyDescent="0.2">
      <c r="A155" s="3" t="s">
        <v>965</v>
      </c>
      <c r="B155" s="3" t="s">
        <v>966</v>
      </c>
      <c r="C155" s="3" t="s">
        <v>967</v>
      </c>
      <c r="D155" s="3" t="s">
        <v>175</v>
      </c>
      <c r="E155" s="3" t="s">
        <v>282</v>
      </c>
      <c r="F155" s="3" t="s">
        <v>177</v>
      </c>
      <c r="G155" s="3" t="s">
        <v>968</v>
      </c>
      <c r="H155" s="3"/>
      <c r="I155" s="4">
        <v>8498590649</v>
      </c>
      <c r="J155" s="3"/>
      <c r="K155" t="b">
        <v>1</v>
      </c>
      <c r="L155" s="5">
        <v>44375</v>
      </c>
      <c r="M155" s="3" t="s">
        <v>181</v>
      </c>
      <c r="N155" s="3" t="s">
        <v>393</v>
      </c>
      <c r="O155" s="6">
        <v>44393.329687500001</v>
      </c>
      <c r="P155" s="6">
        <v>44393.329687500001</v>
      </c>
      <c r="Q155" s="3" t="s">
        <v>577</v>
      </c>
      <c r="R155" s="3" t="s">
        <v>577</v>
      </c>
      <c r="S155" s="7" t="s">
        <v>650</v>
      </c>
      <c r="T155" s="3" t="s">
        <v>170</v>
      </c>
      <c r="U155" s="3" t="s">
        <v>171</v>
      </c>
    </row>
    <row r="156" spans="1:21" ht="16" x14ac:dyDescent="0.2">
      <c r="A156" s="3" t="s">
        <v>969</v>
      </c>
      <c r="B156" s="3" t="s">
        <v>970</v>
      </c>
      <c r="C156" s="3" t="s">
        <v>971</v>
      </c>
      <c r="D156" s="3" t="s">
        <v>175</v>
      </c>
      <c r="E156" s="3" t="s">
        <v>176</v>
      </c>
      <c r="F156" s="3" t="s">
        <v>177</v>
      </c>
      <c r="G156" s="3" t="s">
        <v>972</v>
      </c>
      <c r="H156" s="3" t="s">
        <v>973</v>
      </c>
      <c r="I156" s="4">
        <v>8094473246</v>
      </c>
      <c r="J156" s="3"/>
      <c r="K156" t="b">
        <v>1</v>
      </c>
      <c r="L156" s="5">
        <v>44397</v>
      </c>
      <c r="M156" s="3" t="s">
        <v>181</v>
      </c>
      <c r="N156" s="3" t="s">
        <v>182</v>
      </c>
      <c r="O156" s="6">
        <v>44399.772673611114</v>
      </c>
      <c r="P156" s="6">
        <v>44399.772673611114</v>
      </c>
      <c r="Q156" s="3" t="s">
        <v>918</v>
      </c>
      <c r="R156" s="3" t="s">
        <v>918</v>
      </c>
      <c r="S156" s="7" t="s">
        <v>974</v>
      </c>
      <c r="T156" s="3" t="s">
        <v>170</v>
      </c>
      <c r="U156" s="3" t="s">
        <v>171</v>
      </c>
    </row>
    <row r="157" spans="1:21" ht="16" x14ac:dyDescent="0.2">
      <c r="A157" s="3" t="s">
        <v>975</v>
      </c>
      <c r="B157" s="3" t="s">
        <v>976</v>
      </c>
      <c r="C157" s="3" t="s">
        <v>977</v>
      </c>
      <c r="D157" s="3" t="s">
        <v>175</v>
      </c>
      <c r="E157" s="3" t="s">
        <v>978</v>
      </c>
      <c r="F157" s="3" t="s">
        <v>177</v>
      </c>
      <c r="G157" s="3" t="s">
        <v>979</v>
      </c>
      <c r="H157" s="3" t="s">
        <v>980</v>
      </c>
      <c r="I157" s="4">
        <v>8093157643</v>
      </c>
      <c r="J157" s="3"/>
      <c r="K157" t="b">
        <v>1</v>
      </c>
      <c r="L157" s="5">
        <v>44402</v>
      </c>
      <c r="M157" s="3" t="s">
        <v>181</v>
      </c>
      <c r="N157" s="3" t="s">
        <v>393</v>
      </c>
      <c r="O157" s="6">
        <v>44402.696053240739</v>
      </c>
      <c r="P157" s="6">
        <v>44401.368483796294</v>
      </c>
      <c r="Q157" s="3" t="s">
        <v>918</v>
      </c>
      <c r="R157" s="3" t="s">
        <v>918</v>
      </c>
      <c r="S157" s="7" t="s">
        <v>981</v>
      </c>
      <c r="T157" s="3" t="s">
        <v>170</v>
      </c>
      <c r="U157" s="3" t="s">
        <v>171</v>
      </c>
    </row>
    <row r="158" spans="1:21" ht="16" x14ac:dyDescent="0.2">
      <c r="A158" s="3" t="s">
        <v>982</v>
      </c>
      <c r="B158" s="3" t="s">
        <v>983</v>
      </c>
      <c r="C158" s="3" t="s">
        <v>984</v>
      </c>
      <c r="D158" s="3" t="s">
        <v>175</v>
      </c>
      <c r="E158" s="3" t="s">
        <v>176</v>
      </c>
      <c r="F158" s="3" t="s">
        <v>177</v>
      </c>
      <c r="G158" s="3" t="s">
        <v>985</v>
      </c>
      <c r="H158" s="3"/>
      <c r="I158" s="4">
        <v>8095466830</v>
      </c>
      <c r="J158" s="3"/>
      <c r="K158" t="b">
        <v>1</v>
      </c>
      <c r="L158" s="5">
        <v>44403</v>
      </c>
      <c r="M158" s="3" t="s">
        <v>181</v>
      </c>
      <c r="N158" s="3" t="s">
        <v>393</v>
      </c>
      <c r="O158" s="6">
        <v>44403.225416666668</v>
      </c>
      <c r="P158" s="6">
        <v>44403.225416666668</v>
      </c>
      <c r="Q158" s="3" t="s">
        <v>918</v>
      </c>
      <c r="R158" s="3" t="s">
        <v>918</v>
      </c>
      <c r="S158" s="7" t="s">
        <v>986</v>
      </c>
      <c r="T158" s="3" t="s">
        <v>170</v>
      </c>
      <c r="U158" s="3" t="s">
        <v>171</v>
      </c>
    </row>
    <row r="159" spans="1:21" ht="16" x14ac:dyDescent="0.2">
      <c r="A159" s="3" t="s">
        <v>987</v>
      </c>
      <c r="B159" s="3" t="s">
        <v>988</v>
      </c>
      <c r="C159" s="3" t="s">
        <v>989</v>
      </c>
      <c r="D159" s="3" t="s">
        <v>175</v>
      </c>
      <c r="E159" s="3" t="s">
        <v>176</v>
      </c>
      <c r="F159" s="3" t="s">
        <v>177</v>
      </c>
      <c r="G159" s="3" t="s">
        <v>990</v>
      </c>
      <c r="H159" s="3"/>
      <c r="I159" s="4">
        <v>8298146009</v>
      </c>
      <c r="J159" s="3"/>
      <c r="K159" t="b">
        <v>1</v>
      </c>
      <c r="L159" s="5">
        <v>44400</v>
      </c>
      <c r="M159" s="3" t="s">
        <v>181</v>
      </c>
      <c r="N159" s="3" t="s">
        <v>393</v>
      </c>
      <c r="O159" s="6">
        <v>44403.276469907411</v>
      </c>
      <c r="P159" s="6">
        <v>44403.276469907411</v>
      </c>
      <c r="Q159" s="3" t="s">
        <v>918</v>
      </c>
      <c r="R159" s="3" t="s">
        <v>918</v>
      </c>
      <c r="S159" s="7" t="s">
        <v>991</v>
      </c>
      <c r="T159" s="3" t="s">
        <v>170</v>
      </c>
      <c r="U159" s="3" t="s">
        <v>171</v>
      </c>
    </row>
    <row r="160" spans="1:21" ht="16" x14ac:dyDescent="0.2">
      <c r="A160" s="3" t="s">
        <v>992</v>
      </c>
      <c r="B160" s="3" t="s">
        <v>993</v>
      </c>
      <c r="C160" s="3" t="s">
        <v>994</v>
      </c>
      <c r="D160" s="3" t="s">
        <v>587</v>
      </c>
      <c r="E160" s="3" t="s">
        <v>587</v>
      </c>
      <c r="F160" s="3" t="s">
        <v>587</v>
      </c>
      <c r="G160" s="3" t="s">
        <v>201</v>
      </c>
      <c r="H160" s="3"/>
      <c r="I160" s="4">
        <v>8296968259</v>
      </c>
      <c r="J160" s="3"/>
      <c r="K160" t="b">
        <v>1</v>
      </c>
      <c r="L160" s="5">
        <v>44396</v>
      </c>
      <c r="M160" s="3" t="s">
        <v>181</v>
      </c>
      <c r="N160" s="3" t="s">
        <v>182</v>
      </c>
      <c r="O160" s="6">
        <v>44469.309166666666</v>
      </c>
      <c r="P160" s="6">
        <v>44403.560567129629</v>
      </c>
      <c r="Q160" s="3" t="s">
        <v>716</v>
      </c>
      <c r="R160" s="3" t="s">
        <v>184</v>
      </c>
      <c r="S160" s="7" t="s">
        <v>796</v>
      </c>
      <c r="T160" s="3" t="s">
        <v>170</v>
      </c>
      <c r="U160" s="3" t="s">
        <v>171</v>
      </c>
    </row>
    <row r="161" spans="1:21" ht="16" x14ac:dyDescent="0.2">
      <c r="A161" s="3" t="s">
        <v>995</v>
      </c>
      <c r="B161" s="3" t="s">
        <v>996</v>
      </c>
      <c r="C161" s="3" t="s">
        <v>997</v>
      </c>
      <c r="D161" s="3" t="s">
        <v>175</v>
      </c>
      <c r="E161" s="3" t="s">
        <v>176</v>
      </c>
      <c r="F161" s="3" t="s">
        <v>177</v>
      </c>
      <c r="G161" s="3" t="s">
        <v>998</v>
      </c>
      <c r="H161" s="3"/>
      <c r="I161" s="4">
        <v>8493439976</v>
      </c>
      <c r="J161" s="3"/>
      <c r="K161" t="b">
        <v>0</v>
      </c>
      <c r="L161" s="5">
        <v>44431</v>
      </c>
      <c r="M161" s="3" t="s">
        <v>181</v>
      </c>
      <c r="N161" s="3" t="s">
        <v>182</v>
      </c>
      <c r="O161" s="6">
        <v>44431.224548611113</v>
      </c>
      <c r="P161" s="6">
        <v>44407.546203703707</v>
      </c>
      <c r="Q161" s="3" t="s">
        <v>716</v>
      </c>
      <c r="R161" s="3" t="s">
        <v>184</v>
      </c>
      <c r="S161" s="7" t="s">
        <v>698</v>
      </c>
      <c r="T161" s="3" t="s">
        <v>170</v>
      </c>
      <c r="U161" s="3" t="s">
        <v>171</v>
      </c>
    </row>
    <row r="162" spans="1:21" ht="16" x14ac:dyDescent="0.2">
      <c r="A162" s="3" t="s">
        <v>999</v>
      </c>
      <c r="B162" s="3" t="s">
        <v>1000</v>
      </c>
      <c r="C162" s="3" t="s">
        <v>1001</v>
      </c>
      <c r="D162" s="3" t="s">
        <v>175</v>
      </c>
      <c r="E162" s="3" t="s">
        <v>176</v>
      </c>
      <c r="F162" s="3" t="s">
        <v>177</v>
      </c>
      <c r="G162" s="3" t="s">
        <v>1002</v>
      </c>
      <c r="H162" s="3" t="s">
        <v>1003</v>
      </c>
      <c r="I162" s="4">
        <v>8299064529</v>
      </c>
      <c r="J162" s="3"/>
      <c r="K162" t="b">
        <v>1</v>
      </c>
      <c r="L162" s="5">
        <v>44408</v>
      </c>
      <c r="M162" s="3" t="s">
        <v>181</v>
      </c>
      <c r="N162" s="3" t="s">
        <v>182</v>
      </c>
      <c r="O162" s="6">
        <v>44408.358726851853</v>
      </c>
      <c r="P162" s="6">
        <v>44408.358726851853</v>
      </c>
      <c r="Q162" s="3" t="s">
        <v>780</v>
      </c>
      <c r="R162" s="3" t="s">
        <v>780</v>
      </c>
      <c r="S162" s="7" t="s">
        <v>1004</v>
      </c>
      <c r="T162" s="3" t="s">
        <v>170</v>
      </c>
      <c r="U162" s="3" t="s">
        <v>171</v>
      </c>
    </row>
    <row r="163" spans="1:21" ht="16" x14ac:dyDescent="0.2">
      <c r="A163" s="3" t="s">
        <v>2410</v>
      </c>
      <c r="B163" s="3" t="s">
        <v>1005</v>
      </c>
      <c r="C163" s="3" t="s">
        <v>1006</v>
      </c>
      <c r="D163" s="3" t="s">
        <v>175</v>
      </c>
      <c r="E163" s="3" t="s">
        <v>176</v>
      </c>
      <c r="F163" s="3" t="s">
        <v>177</v>
      </c>
      <c r="G163" s="3" t="s">
        <v>1007</v>
      </c>
      <c r="H163" s="3" t="s">
        <v>43</v>
      </c>
      <c r="I163" s="4">
        <v>8293059094</v>
      </c>
      <c r="J163" s="3"/>
      <c r="K163" t="b">
        <v>1</v>
      </c>
      <c r="L163" s="5">
        <v>44408</v>
      </c>
      <c r="M163" s="3" t="s">
        <v>181</v>
      </c>
      <c r="N163" s="3" t="s">
        <v>182</v>
      </c>
      <c r="O163" s="6">
        <v>44487.269444444442</v>
      </c>
      <c r="P163" s="6">
        <v>44408.36277777778</v>
      </c>
      <c r="Q163" s="3" t="s">
        <v>780</v>
      </c>
      <c r="R163" s="3" t="s">
        <v>184</v>
      </c>
      <c r="S163" s="7" t="s">
        <v>1008</v>
      </c>
      <c r="T163" s="3" t="s">
        <v>170</v>
      </c>
      <c r="U163" s="3" t="s">
        <v>171</v>
      </c>
    </row>
    <row r="164" spans="1:21" ht="16" x14ac:dyDescent="0.2">
      <c r="A164" s="3" t="s">
        <v>1009</v>
      </c>
      <c r="B164" s="3" t="s">
        <v>1010</v>
      </c>
      <c r="C164" s="3" t="s">
        <v>1011</v>
      </c>
      <c r="D164" s="3" t="s">
        <v>175</v>
      </c>
      <c r="E164" s="3" t="s">
        <v>176</v>
      </c>
      <c r="F164" s="3" t="s">
        <v>177</v>
      </c>
      <c r="G164" s="3" t="s">
        <v>1012</v>
      </c>
      <c r="H164" s="3"/>
      <c r="I164" s="4">
        <v>8297662608</v>
      </c>
      <c r="J164" s="3"/>
      <c r="K164" t="b">
        <v>1</v>
      </c>
      <c r="L164" s="5">
        <v>44410</v>
      </c>
      <c r="M164" s="3" t="s">
        <v>181</v>
      </c>
      <c r="N164" s="3" t="s">
        <v>182</v>
      </c>
      <c r="O164" s="6">
        <v>44420.575057870374</v>
      </c>
      <c r="P164" s="6">
        <v>44420.575057870374</v>
      </c>
      <c r="Q164" s="3" t="s">
        <v>716</v>
      </c>
      <c r="R164" s="3" t="s">
        <v>716</v>
      </c>
      <c r="S164" s="7" t="s">
        <v>1013</v>
      </c>
      <c r="T164" s="3" t="s">
        <v>170</v>
      </c>
      <c r="U164" s="3" t="s">
        <v>171</v>
      </c>
    </row>
    <row r="165" spans="1:21" ht="16" x14ac:dyDescent="0.2">
      <c r="A165" s="3" t="s">
        <v>1014</v>
      </c>
      <c r="B165" s="3" t="s">
        <v>1015</v>
      </c>
      <c r="C165" s="3" t="s">
        <v>1016</v>
      </c>
      <c r="D165" s="3" t="s">
        <v>175</v>
      </c>
      <c r="E165" s="3" t="s">
        <v>161</v>
      </c>
      <c r="F165" s="3" t="s">
        <v>177</v>
      </c>
      <c r="G165" s="3" t="s">
        <v>1017</v>
      </c>
      <c r="H165" s="3"/>
      <c r="I165" s="4">
        <v>8099634423</v>
      </c>
      <c r="J165" s="3"/>
      <c r="K165" t="b">
        <v>1</v>
      </c>
      <c r="L165" s="5">
        <v>44412</v>
      </c>
      <c r="M165" s="3" t="s">
        <v>181</v>
      </c>
      <c r="N165" s="3" t="s">
        <v>393</v>
      </c>
      <c r="O165" s="6">
        <v>44420.580752314818</v>
      </c>
      <c r="P165" s="6">
        <v>44420.580752314818</v>
      </c>
      <c r="Q165" s="3" t="s">
        <v>918</v>
      </c>
      <c r="R165" s="3" t="s">
        <v>918</v>
      </c>
      <c r="S165" s="7" t="s">
        <v>1018</v>
      </c>
      <c r="T165" s="3" t="s">
        <v>170</v>
      </c>
      <c r="U165" s="3" t="s">
        <v>171</v>
      </c>
    </row>
    <row r="166" spans="1:21" ht="16" x14ac:dyDescent="0.2">
      <c r="A166" s="3" t="s">
        <v>1019</v>
      </c>
      <c r="B166" s="3" t="s">
        <v>1020</v>
      </c>
      <c r="C166" s="3" t="s">
        <v>1021</v>
      </c>
      <c r="D166" s="3" t="s">
        <v>175</v>
      </c>
      <c r="E166" s="3" t="s">
        <v>176</v>
      </c>
      <c r="F166" s="3" t="s">
        <v>177</v>
      </c>
      <c r="G166" s="3" t="s">
        <v>1022</v>
      </c>
      <c r="H166" s="3"/>
      <c r="I166" s="4">
        <v>8097431951</v>
      </c>
      <c r="J166" s="3"/>
      <c r="K166" t="b">
        <v>1</v>
      </c>
      <c r="L166" s="5">
        <v>44419</v>
      </c>
      <c r="M166" s="3" t="s">
        <v>181</v>
      </c>
      <c r="N166" s="3" t="s">
        <v>393</v>
      </c>
      <c r="O166" s="6">
        <v>44421.271435185183</v>
      </c>
      <c r="P166" s="6">
        <v>44421.271435185183</v>
      </c>
      <c r="Q166" s="3" t="s">
        <v>918</v>
      </c>
      <c r="R166" s="3" t="s">
        <v>918</v>
      </c>
      <c r="S166" s="7" t="s">
        <v>1023</v>
      </c>
      <c r="T166" s="3" t="s">
        <v>170</v>
      </c>
      <c r="U166" s="3" t="s">
        <v>171</v>
      </c>
    </row>
    <row r="167" spans="1:21" ht="16" x14ac:dyDescent="0.2">
      <c r="A167" s="3" t="s">
        <v>1024</v>
      </c>
      <c r="B167" s="3" t="s">
        <v>1025</v>
      </c>
      <c r="C167" s="3" t="s">
        <v>1026</v>
      </c>
      <c r="D167" s="3" t="s">
        <v>175</v>
      </c>
      <c r="E167" s="3" t="s">
        <v>176</v>
      </c>
      <c r="F167" s="3" t="s">
        <v>177</v>
      </c>
      <c r="G167" s="3" t="s">
        <v>1027</v>
      </c>
      <c r="H167" s="3" t="s">
        <v>1028</v>
      </c>
      <c r="I167" s="4">
        <v>8298397444</v>
      </c>
      <c r="J167" s="3"/>
      <c r="K167" t="b">
        <v>1</v>
      </c>
      <c r="L167" s="5">
        <v>44410</v>
      </c>
      <c r="M167" s="3" t="s">
        <v>181</v>
      </c>
      <c r="N167" s="3" t="s">
        <v>393</v>
      </c>
      <c r="O167" s="6">
        <v>44421.297754629632</v>
      </c>
      <c r="P167" s="6">
        <v>44421.297754629632</v>
      </c>
      <c r="Q167" s="3" t="s">
        <v>2569</v>
      </c>
      <c r="R167" s="3" t="s">
        <v>2569</v>
      </c>
      <c r="S167" s="7" t="s">
        <v>1029</v>
      </c>
      <c r="T167" s="3" t="s">
        <v>170</v>
      </c>
      <c r="U167" s="3" t="s">
        <v>171</v>
      </c>
    </row>
    <row r="168" spans="1:21" ht="16" x14ac:dyDescent="0.2">
      <c r="A168" s="3" t="s">
        <v>1030</v>
      </c>
      <c r="B168" s="3" t="s">
        <v>1031</v>
      </c>
      <c r="C168" s="3" t="s">
        <v>1032</v>
      </c>
      <c r="D168" s="3" t="s">
        <v>175</v>
      </c>
      <c r="E168" s="3" t="s">
        <v>282</v>
      </c>
      <c r="F168" s="3" t="s">
        <v>177</v>
      </c>
      <c r="G168" s="3" t="s">
        <v>1033</v>
      </c>
      <c r="H168" s="3"/>
      <c r="I168" s="4">
        <v>8096703824</v>
      </c>
      <c r="J168" s="3"/>
      <c r="K168" t="b">
        <v>1</v>
      </c>
      <c r="L168" s="5">
        <v>44417</v>
      </c>
      <c r="M168" s="3" t="s">
        <v>181</v>
      </c>
      <c r="N168" s="3" t="s">
        <v>182</v>
      </c>
      <c r="O168" s="6">
        <v>44421.333090277774</v>
      </c>
      <c r="P168" s="6">
        <v>44421.333090277774</v>
      </c>
      <c r="Q168" s="3" t="s">
        <v>2337</v>
      </c>
      <c r="R168" s="3" t="s">
        <v>2337</v>
      </c>
      <c r="S168" s="7" t="s">
        <v>1034</v>
      </c>
      <c r="T168" s="3" t="s">
        <v>170</v>
      </c>
      <c r="U168" s="3" t="s">
        <v>171</v>
      </c>
    </row>
    <row r="169" spans="1:21" x14ac:dyDescent="0.2">
      <c r="A169" s="3" t="s">
        <v>1035</v>
      </c>
      <c r="B169" s="3" t="s">
        <v>1036</v>
      </c>
      <c r="C169" s="3" t="s">
        <v>997</v>
      </c>
      <c r="D169" s="3" t="s">
        <v>175</v>
      </c>
      <c r="E169" s="3" t="s">
        <v>282</v>
      </c>
      <c r="F169" s="3" t="s">
        <v>177</v>
      </c>
      <c r="G169" s="3" t="s">
        <v>1037</v>
      </c>
      <c r="H169" s="3"/>
      <c r="I169" s="4">
        <v>8296722563</v>
      </c>
      <c r="J169" s="3"/>
      <c r="K169" t="b">
        <v>0</v>
      </c>
      <c r="L169" s="5">
        <v>44434</v>
      </c>
      <c r="M169" s="3" t="s">
        <v>181</v>
      </c>
      <c r="N169" s="3" t="s">
        <v>393</v>
      </c>
      <c r="O169" s="6">
        <v>44434.370821759258</v>
      </c>
      <c r="P169" s="6">
        <v>44421.528055555558</v>
      </c>
      <c r="Q169" s="3" t="s">
        <v>184</v>
      </c>
      <c r="R169" s="3" t="s">
        <v>184</v>
      </c>
      <c r="S169" s="7"/>
      <c r="T169" s="3" t="s">
        <v>170</v>
      </c>
      <c r="U169" s="3" t="s">
        <v>171</v>
      </c>
    </row>
    <row r="170" spans="1:21" ht="16" x14ac:dyDescent="0.2">
      <c r="A170" s="3" t="s">
        <v>1038</v>
      </c>
      <c r="B170" s="3" t="s">
        <v>1039</v>
      </c>
      <c r="C170" s="3" t="s">
        <v>1040</v>
      </c>
      <c r="D170" s="3" t="s">
        <v>175</v>
      </c>
      <c r="E170" s="3" t="s">
        <v>176</v>
      </c>
      <c r="F170" s="3" t="s">
        <v>177</v>
      </c>
      <c r="G170" s="3" t="s">
        <v>1041</v>
      </c>
      <c r="H170" s="3"/>
      <c r="I170" s="4">
        <v>8094804337</v>
      </c>
      <c r="J170" s="3"/>
      <c r="K170" t="b">
        <v>1</v>
      </c>
      <c r="L170" s="5">
        <v>44412</v>
      </c>
      <c r="M170" s="3" t="s">
        <v>181</v>
      </c>
      <c r="N170" s="3" t="s">
        <v>393</v>
      </c>
      <c r="O170" s="6">
        <v>44421.598576388889</v>
      </c>
      <c r="P170" s="6">
        <v>44421.598576388889</v>
      </c>
      <c r="Q170" s="3" t="s">
        <v>716</v>
      </c>
      <c r="R170" s="3" t="s">
        <v>716</v>
      </c>
      <c r="S170" s="7" t="s">
        <v>1042</v>
      </c>
      <c r="T170" s="3" t="s">
        <v>170</v>
      </c>
      <c r="U170" s="3" t="s">
        <v>171</v>
      </c>
    </row>
    <row r="171" spans="1:21" ht="16" x14ac:dyDescent="0.2">
      <c r="A171" s="3" t="s">
        <v>1043</v>
      </c>
      <c r="B171" s="3" t="s">
        <v>1044</v>
      </c>
      <c r="C171" s="3" t="s">
        <v>1045</v>
      </c>
      <c r="D171" s="3" t="s">
        <v>175</v>
      </c>
      <c r="E171" s="3" t="s">
        <v>176</v>
      </c>
      <c r="F171" s="3" t="s">
        <v>177</v>
      </c>
      <c r="G171" s="3" t="s">
        <v>1046</v>
      </c>
      <c r="H171" s="3"/>
      <c r="I171" s="4">
        <v>8295871102</v>
      </c>
      <c r="J171" s="3"/>
      <c r="K171" t="b">
        <v>1</v>
      </c>
      <c r="L171" s="5">
        <v>44445</v>
      </c>
      <c r="M171" s="3" t="s">
        <v>181</v>
      </c>
      <c r="N171" s="3" t="s">
        <v>182</v>
      </c>
      <c r="O171" s="6">
        <v>44445.239502314813</v>
      </c>
      <c r="P171" s="6">
        <v>44421.658379629633</v>
      </c>
      <c r="Q171" s="3" t="s">
        <v>577</v>
      </c>
      <c r="R171" s="3" t="s">
        <v>184</v>
      </c>
      <c r="S171" s="7" t="s">
        <v>1047</v>
      </c>
      <c r="T171" s="3" t="s">
        <v>170</v>
      </c>
      <c r="U171" s="3" t="s">
        <v>171</v>
      </c>
    </row>
    <row r="172" spans="1:21" ht="16" x14ac:dyDescent="0.2">
      <c r="A172" s="3" t="s">
        <v>1048</v>
      </c>
      <c r="B172" s="3" t="s">
        <v>1049</v>
      </c>
      <c r="C172" s="3" t="s">
        <v>1050</v>
      </c>
      <c r="D172" s="3" t="s">
        <v>175</v>
      </c>
      <c r="E172" s="3" t="s">
        <v>176</v>
      </c>
      <c r="F172" s="3" t="s">
        <v>177</v>
      </c>
      <c r="G172" s="3" t="s">
        <v>1051</v>
      </c>
      <c r="H172" s="3"/>
      <c r="I172" s="4">
        <v>8098838257</v>
      </c>
      <c r="J172" s="3"/>
      <c r="K172" t="b">
        <v>1</v>
      </c>
      <c r="L172" s="5">
        <v>44422</v>
      </c>
      <c r="M172" s="3" t="s">
        <v>181</v>
      </c>
      <c r="N172" s="3" t="s">
        <v>393</v>
      </c>
      <c r="O172" s="6">
        <v>44422.234733796293</v>
      </c>
      <c r="P172" s="6">
        <v>44421.69427083333</v>
      </c>
      <c r="Q172" s="3" t="s">
        <v>577</v>
      </c>
      <c r="R172" s="3" t="s">
        <v>577</v>
      </c>
      <c r="S172" s="7" t="s">
        <v>1052</v>
      </c>
      <c r="T172" s="3" t="s">
        <v>170</v>
      </c>
      <c r="U172" s="3" t="s">
        <v>171</v>
      </c>
    </row>
    <row r="173" spans="1:21" ht="16" x14ac:dyDescent="0.2">
      <c r="A173" s="3" t="s">
        <v>1053</v>
      </c>
      <c r="B173" s="3" t="s">
        <v>1054</v>
      </c>
      <c r="C173" s="3" t="s">
        <v>1055</v>
      </c>
      <c r="D173" s="3" t="s">
        <v>175</v>
      </c>
      <c r="E173" s="3" t="s">
        <v>282</v>
      </c>
      <c r="F173" s="3" t="s">
        <v>177</v>
      </c>
      <c r="G173" s="3" t="s">
        <v>1056</v>
      </c>
      <c r="H173" s="3"/>
      <c r="I173" s="4">
        <v>8297026022</v>
      </c>
      <c r="J173" s="3"/>
      <c r="K173" t="b">
        <v>1</v>
      </c>
      <c r="L173" s="5">
        <v>44418</v>
      </c>
      <c r="M173" s="3" t="s">
        <v>181</v>
      </c>
      <c r="N173" s="3" t="s">
        <v>393</v>
      </c>
      <c r="O173" s="6">
        <v>44421.856493055559</v>
      </c>
      <c r="P173" s="6">
        <v>44421.856493055559</v>
      </c>
      <c r="Q173" s="3" t="s">
        <v>716</v>
      </c>
      <c r="R173" s="3" t="s">
        <v>716</v>
      </c>
      <c r="S173" s="7" t="s">
        <v>1057</v>
      </c>
      <c r="T173" s="3" t="s">
        <v>170</v>
      </c>
      <c r="U173" s="3" t="s">
        <v>171</v>
      </c>
    </row>
    <row r="174" spans="1:21" ht="16" x14ac:dyDescent="0.2">
      <c r="A174" s="3" t="s">
        <v>1058</v>
      </c>
      <c r="B174" s="3" t="s">
        <v>1059</v>
      </c>
      <c r="C174" s="3" t="s">
        <v>1060</v>
      </c>
      <c r="D174" s="3" t="s">
        <v>175</v>
      </c>
      <c r="E174" s="3" t="s">
        <v>176</v>
      </c>
      <c r="F174" s="3" t="s">
        <v>177</v>
      </c>
      <c r="G174" s="3" t="s">
        <v>1061</v>
      </c>
      <c r="H174" s="3"/>
      <c r="I174" s="4">
        <v>8298141894</v>
      </c>
      <c r="J174" s="3"/>
      <c r="K174" t="b">
        <v>1</v>
      </c>
      <c r="L174" s="5">
        <v>44421</v>
      </c>
      <c r="M174" s="3" t="s">
        <v>181</v>
      </c>
      <c r="N174" s="3" t="s">
        <v>393</v>
      </c>
      <c r="O174" s="6">
        <v>44425.484074074076</v>
      </c>
      <c r="P174" s="6">
        <v>44425.484074074076</v>
      </c>
      <c r="Q174" s="3" t="s">
        <v>1062</v>
      </c>
      <c r="R174" s="3" t="s">
        <v>1062</v>
      </c>
      <c r="S174" s="7" t="s">
        <v>1063</v>
      </c>
      <c r="T174" s="3" t="s">
        <v>170</v>
      </c>
      <c r="U174" s="3" t="s">
        <v>171</v>
      </c>
    </row>
    <row r="175" spans="1:21" ht="16" x14ac:dyDescent="0.2">
      <c r="A175" s="3" t="s">
        <v>1064</v>
      </c>
      <c r="B175" s="3" t="s">
        <v>1065</v>
      </c>
      <c r="C175" s="3" t="s">
        <v>1066</v>
      </c>
      <c r="D175" s="3" t="s">
        <v>175</v>
      </c>
      <c r="E175" s="3" t="s">
        <v>176</v>
      </c>
      <c r="F175" s="3" t="s">
        <v>177</v>
      </c>
      <c r="G175" s="3" t="s">
        <v>1067</v>
      </c>
      <c r="H175" s="3"/>
      <c r="I175" s="4">
        <v>8093704653</v>
      </c>
      <c r="J175" s="3"/>
      <c r="K175" t="b">
        <v>1</v>
      </c>
      <c r="L175" s="5">
        <v>44428</v>
      </c>
      <c r="M175" s="3" t="s">
        <v>181</v>
      </c>
      <c r="N175" s="3" t="s">
        <v>393</v>
      </c>
      <c r="O175" s="6">
        <v>44426.435069444444</v>
      </c>
      <c r="P175" s="6">
        <v>44426.435069444444</v>
      </c>
      <c r="Q175" s="3" t="s">
        <v>1062</v>
      </c>
      <c r="R175" s="3" t="s">
        <v>1062</v>
      </c>
      <c r="S175" s="7" t="s">
        <v>1068</v>
      </c>
      <c r="T175" s="3" t="s">
        <v>170</v>
      </c>
      <c r="U175" s="3" t="s">
        <v>171</v>
      </c>
    </row>
    <row r="176" spans="1:21" ht="16" x14ac:dyDescent="0.2">
      <c r="A176" s="3" t="s">
        <v>1069</v>
      </c>
      <c r="B176" s="3" t="s">
        <v>1070</v>
      </c>
      <c r="C176" s="3" t="s">
        <v>1071</v>
      </c>
      <c r="D176" s="3" t="s">
        <v>175</v>
      </c>
      <c r="E176" s="3" t="s">
        <v>282</v>
      </c>
      <c r="F176" s="3" t="s">
        <v>177</v>
      </c>
      <c r="G176" s="3" t="s">
        <v>1072</v>
      </c>
      <c r="H176" s="3"/>
      <c r="I176" s="4">
        <v>8292679521</v>
      </c>
      <c r="J176" s="3"/>
      <c r="K176" t="b">
        <v>1</v>
      </c>
      <c r="L176" s="5">
        <v>44447</v>
      </c>
      <c r="M176" s="3" t="s">
        <v>181</v>
      </c>
      <c r="N176" s="3" t="s">
        <v>182</v>
      </c>
      <c r="O176" s="6">
        <v>44447.585590277777</v>
      </c>
      <c r="P176" s="6">
        <v>44428.355925925927</v>
      </c>
      <c r="Q176" s="3" t="s">
        <v>570</v>
      </c>
      <c r="R176" s="3" t="s">
        <v>184</v>
      </c>
      <c r="S176" s="7" t="s">
        <v>846</v>
      </c>
      <c r="T176" s="3" t="s">
        <v>170</v>
      </c>
      <c r="U176" s="3" t="s">
        <v>171</v>
      </c>
    </row>
    <row r="177" spans="1:21" ht="16" x14ac:dyDescent="0.2">
      <c r="A177" s="3" t="s">
        <v>1073</v>
      </c>
      <c r="B177" s="3" t="s">
        <v>1074</v>
      </c>
      <c r="C177" s="3" t="s">
        <v>1075</v>
      </c>
      <c r="D177" s="3" t="s">
        <v>175</v>
      </c>
      <c r="E177" s="3" t="s">
        <v>282</v>
      </c>
      <c r="F177" s="3" t="s">
        <v>177</v>
      </c>
      <c r="G177" s="3" t="s">
        <v>1076</v>
      </c>
      <c r="H177" s="3"/>
      <c r="I177" s="4">
        <v>8093568722</v>
      </c>
      <c r="J177" s="3"/>
      <c r="K177" t="b">
        <v>1</v>
      </c>
      <c r="L177" s="5">
        <v>44431</v>
      </c>
      <c r="M177" s="3" t="s">
        <v>181</v>
      </c>
      <c r="N177" s="3" t="s">
        <v>182</v>
      </c>
      <c r="O177" s="6">
        <v>44431.370185185187</v>
      </c>
      <c r="P177" s="6">
        <v>44431.370185185187</v>
      </c>
      <c r="Q177" s="3" t="s">
        <v>577</v>
      </c>
      <c r="R177" s="3" t="s">
        <v>577</v>
      </c>
      <c r="S177" s="7" t="s">
        <v>1077</v>
      </c>
      <c r="T177" s="3" t="s">
        <v>170</v>
      </c>
      <c r="U177" s="3" t="s">
        <v>171</v>
      </c>
    </row>
    <row r="178" spans="1:21" ht="16" x14ac:dyDescent="0.2">
      <c r="A178" s="3" t="s">
        <v>1078</v>
      </c>
      <c r="B178" s="3" t="s">
        <v>1079</v>
      </c>
      <c r="C178" s="3" t="s">
        <v>1080</v>
      </c>
      <c r="D178" s="3" t="s">
        <v>175</v>
      </c>
      <c r="E178" s="3" t="s">
        <v>176</v>
      </c>
      <c r="F178" s="3" t="s">
        <v>177</v>
      </c>
      <c r="G178" s="3" t="s">
        <v>1081</v>
      </c>
      <c r="H178" s="3" t="s">
        <v>1082</v>
      </c>
      <c r="I178" s="4">
        <v>8494043005</v>
      </c>
      <c r="J178" s="3"/>
      <c r="K178" t="b">
        <v>1</v>
      </c>
      <c r="L178" s="5">
        <v>44431</v>
      </c>
      <c r="M178" s="3" t="s">
        <v>181</v>
      </c>
      <c r="N178" s="3" t="s">
        <v>393</v>
      </c>
      <c r="O178" s="6">
        <v>44431.617210648146</v>
      </c>
      <c r="P178" s="6">
        <v>44431.617210648146</v>
      </c>
      <c r="Q178" s="3" t="s">
        <v>1062</v>
      </c>
      <c r="R178" s="3" t="s">
        <v>1062</v>
      </c>
      <c r="S178" s="7" t="s">
        <v>1083</v>
      </c>
      <c r="T178" s="3" t="s">
        <v>170</v>
      </c>
      <c r="U178" s="3" t="s">
        <v>171</v>
      </c>
    </row>
    <row r="179" spans="1:21" ht="16" x14ac:dyDescent="0.2">
      <c r="A179" s="3" t="s">
        <v>1084</v>
      </c>
      <c r="B179" s="3" t="s">
        <v>1085</v>
      </c>
      <c r="C179" s="3" t="s">
        <v>1086</v>
      </c>
      <c r="D179" s="3" t="s">
        <v>175</v>
      </c>
      <c r="E179" s="3" t="s">
        <v>161</v>
      </c>
      <c r="F179" s="3" t="s">
        <v>177</v>
      </c>
      <c r="G179" s="3" t="s">
        <v>1087</v>
      </c>
      <c r="H179" s="3"/>
      <c r="I179" s="4">
        <v>8098971462</v>
      </c>
      <c r="J179" s="3"/>
      <c r="K179" t="b">
        <v>1</v>
      </c>
      <c r="L179" s="5">
        <v>44435</v>
      </c>
      <c r="M179" s="3" t="s">
        <v>181</v>
      </c>
      <c r="N179" s="3" t="s">
        <v>182</v>
      </c>
      <c r="O179" s="6">
        <v>44435.248449074075</v>
      </c>
      <c r="P179" s="6">
        <v>44435.248449074075</v>
      </c>
      <c r="Q179" s="3" t="s">
        <v>570</v>
      </c>
      <c r="R179" s="3" t="s">
        <v>570</v>
      </c>
      <c r="S179" s="7" t="s">
        <v>650</v>
      </c>
      <c r="T179" s="3" t="s">
        <v>170</v>
      </c>
      <c r="U179" s="3" t="s">
        <v>171</v>
      </c>
    </row>
    <row r="180" spans="1:21" ht="16" x14ac:dyDescent="0.2">
      <c r="A180" s="3" t="s">
        <v>1088</v>
      </c>
      <c r="B180" s="3" t="s">
        <v>1089</v>
      </c>
      <c r="C180" s="3" t="s">
        <v>1090</v>
      </c>
      <c r="D180" s="3" t="s">
        <v>175</v>
      </c>
      <c r="E180" s="3" t="s">
        <v>176</v>
      </c>
      <c r="F180" s="3" t="s">
        <v>177</v>
      </c>
      <c r="G180" s="3" t="s">
        <v>1091</v>
      </c>
      <c r="H180" s="3"/>
      <c r="I180" s="4">
        <v>8298014566</v>
      </c>
      <c r="J180" s="3"/>
      <c r="K180" t="b">
        <v>1</v>
      </c>
      <c r="L180" s="5">
        <v>44432</v>
      </c>
      <c r="M180" s="3" t="s">
        <v>181</v>
      </c>
      <c r="N180" s="3" t="s">
        <v>182</v>
      </c>
      <c r="O180" s="6">
        <v>44438.344270833331</v>
      </c>
      <c r="P180" s="6">
        <v>44438.344270833331</v>
      </c>
      <c r="Q180" s="3" t="s">
        <v>2569</v>
      </c>
      <c r="R180" s="3" t="s">
        <v>2569</v>
      </c>
      <c r="S180" s="7" t="s">
        <v>826</v>
      </c>
      <c r="T180" s="3" t="s">
        <v>170</v>
      </c>
      <c r="U180" s="3" t="s">
        <v>171</v>
      </c>
    </row>
    <row r="181" spans="1:21" ht="16" x14ac:dyDescent="0.2">
      <c r="A181" s="3" t="s">
        <v>1092</v>
      </c>
      <c r="B181" s="3" t="s">
        <v>1093</v>
      </c>
      <c r="C181" s="3" t="s">
        <v>1094</v>
      </c>
      <c r="D181" s="3" t="s">
        <v>175</v>
      </c>
      <c r="E181" s="3" t="s">
        <v>161</v>
      </c>
      <c r="F181" s="3" t="s">
        <v>177</v>
      </c>
      <c r="G181" s="3" t="s">
        <v>1095</v>
      </c>
      <c r="H181" s="3"/>
      <c r="I181" s="4">
        <v>8292745216</v>
      </c>
      <c r="J181" s="3"/>
      <c r="K181" t="b">
        <v>1</v>
      </c>
      <c r="L181" s="5">
        <v>44436</v>
      </c>
      <c r="M181" s="3" t="s">
        <v>181</v>
      </c>
      <c r="N181" s="3" t="s">
        <v>182</v>
      </c>
      <c r="O181" s="6">
        <v>44438.496828703705</v>
      </c>
      <c r="P181" s="6">
        <v>44438.496828703705</v>
      </c>
      <c r="Q181" s="3" t="s">
        <v>2337</v>
      </c>
      <c r="R181" s="3" t="s">
        <v>2337</v>
      </c>
      <c r="S181" s="7" t="s">
        <v>711</v>
      </c>
      <c r="T181" s="3" t="s">
        <v>170</v>
      </c>
      <c r="U181" s="3" t="s">
        <v>171</v>
      </c>
    </row>
    <row r="182" spans="1:21" x14ac:dyDescent="0.2">
      <c r="A182" s="3" t="s">
        <v>1096</v>
      </c>
      <c r="B182" s="3" t="s">
        <v>1097</v>
      </c>
      <c r="C182" s="3" t="s">
        <v>1098</v>
      </c>
      <c r="D182" s="3" t="s">
        <v>175</v>
      </c>
      <c r="E182" s="3" t="s">
        <v>282</v>
      </c>
      <c r="F182" s="3" t="s">
        <v>177</v>
      </c>
      <c r="G182" s="3" t="s">
        <v>1099</v>
      </c>
      <c r="H182" s="3"/>
      <c r="I182" s="4">
        <v>8498762490</v>
      </c>
      <c r="J182" s="3"/>
      <c r="K182" t="b">
        <v>1</v>
      </c>
      <c r="L182" s="5">
        <v>44438</v>
      </c>
      <c r="M182" s="3" t="s">
        <v>181</v>
      </c>
      <c r="N182" s="3" t="s">
        <v>393</v>
      </c>
      <c r="O182" s="6">
        <v>44438.581956018519</v>
      </c>
      <c r="P182" s="6">
        <v>44438.581956018519</v>
      </c>
      <c r="Q182" s="3" t="s">
        <v>184</v>
      </c>
      <c r="R182" s="3" t="s">
        <v>184</v>
      </c>
      <c r="S182" s="7"/>
      <c r="T182" s="3" t="s">
        <v>170</v>
      </c>
      <c r="U182" s="3" t="s">
        <v>171</v>
      </c>
    </row>
    <row r="183" spans="1:21" ht="16" x14ac:dyDescent="0.2">
      <c r="A183" s="3" t="s">
        <v>1100</v>
      </c>
      <c r="B183" s="3" t="s">
        <v>1101</v>
      </c>
      <c r="C183" s="3" t="s">
        <v>875</v>
      </c>
      <c r="D183" s="3" t="s">
        <v>175</v>
      </c>
      <c r="E183" s="3" t="s">
        <v>176</v>
      </c>
      <c r="F183" s="3" t="s">
        <v>162</v>
      </c>
      <c r="G183" s="3" t="s">
        <v>1102</v>
      </c>
      <c r="H183" s="3"/>
      <c r="I183" s="4">
        <v>8498151930</v>
      </c>
      <c r="J183" s="3"/>
      <c r="K183" t="b">
        <v>1</v>
      </c>
      <c r="L183" s="5">
        <v>44439</v>
      </c>
      <c r="M183" s="3" t="s">
        <v>181</v>
      </c>
      <c r="N183" s="3" t="s">
        <v>182</v>
      </c>
      <c r="O183" s="6">
        <v>44439.822754629633</v>
      </c>
      <c r="P183" s="6">
        <v>44439.628692129627</v>
      </c>
      <c r="Q183" s="3" t="s">
        <v>716</v>
      </c>
      <c r="R183" s="3" t="s">
        <v>716</v>
      </c>
      <c r="S183" s="7" t="s">
        <v>698</v>
      </c>
      <c r="T183" s="3" t="s">
        <v>170</v>
      </c>
      <c r="U183" s="3" t="s">
        <v>171</v>
      </c>
    </row>
    <row r="184" spans="1:21" ht="16" x14ac:dyDescent="0.2">
      <c r="A184" s="3" t="s">
        <v>1103</v>
      </c>
      <c r="B184" s="3" t="s">
        <v>1104</v>
      </c>
      <c r="C184" s="3" t="s">
        <v>1105</v>
      </c>
      <c r="D184" s="3" t="s">
        <v>175</v>
      </c>
      <c r="E184" s="3" t="s">
        <v>282</v>
      </c>
      <c r="F184" s="3" t="s">
        <v>177</v>
      </c>
      <c r="G184" s="3" t="s">
        <v>1106</v>
      </c>
      <c r="H184" s="3"/>
      <c r="I184" s="4">
        <v>8299379230</v>
      </c>
      <c r="J184" s="3"/>
      <c r="K184" t="b">
        <v>1</v>
      </c>
      <c r="L184" s="5">
        <v>44432</v>
      </c>
      <c r="M184" s="3" t="s">
        <v>181</v>
      </c>
      <c r="N184" s="3" t="s">
        <v>182</v>
      </c>
      <c r="O184" s="6">
        <v>44439.630960648145</v>
      </c>
      <c r="P184" s="6">
        <v>44439.630960648145</v>
      </c>
      <c r="Q184" s="3" t="s">
        <v>716</v>
      </c>
      <c r="R184" s="3" t="s">
        <v>716</v>
      </c>
      <c r="S184" s="7" t="s">
        <v>734</v>
      </c>
      <c r="T184" s="3" t="s">
        <v>170</v>
      </c>
      <c r="U184" s="3" t="s">
        <v>171</v>
      </c>
    </row>
    <row r="185" spans="1:21" ht="16" x14ac:dyDescent="0.2">
      <c r="A185" s="3" t="s">
        <v>1107</v>
      </c>
      <c r="B185" s="3" t="s">
        <v>1108</v>
      </c>
      <c r="C185" s="3" t="s">
        <v>1109</v>
      </c>
      <c r="D185" s="3" t="s">
        <v>175</v>
      </c>
      <c r="E185" s="3" t="s">
        <v>176</v>
      </c>
      <c r="F185" s="3" t="s">
        <v>177</v>
      </c>
      <c r="G185" s="3" t="s">
        <v>1110</v>
      </c>
      <c r="H185" s="3"/>
      <c r="I185" s="4">
        <v>8096176706</v>
      </c>
      <c r="J185" s="3"/>
      <c r="K185" t="b">
        <v>1</v>
      </c>
      <c r="L185" s="5">
        <v>44442</v>
      </c>
      <c r="M185" s="3" t="s">
        <v>181</v>
      </c>
      <c r="N185" s="3" t="s">
        <v>393</v>
      </c>
      <c r="O185" s="6">
        <v>44442.365520833337</v>
      </c>
      <c r="P185" s="6">
        <v>44442.365520833337</v>
      </c>
      <c r="Q185" s="3" t="s">
        <v>570</v>
      </c>
      <c r="R185" s="3" t="s">
        <v>570</v>
      </c>
      <c r="S185" s="7" t="s">
        <v>1111</v>
      </c>
      <c r="T185" s="3" t="s">
        <v>170</v>
      </c>
      <c r="U185" s="3" t="s">
        <v>171</v>
      </c>
    </row>
    <row r="186" spans="1:21" ht="16" x14ac:dyDescent="0.2">
      <c r="A186" s="3" t="s">
        <v>1112</v>
      </c>
      <c r="B186" s="3" t="s">
        <v>1113</v>
      </c>
      <c r="C186" s="3" t="s">
        <v>1114</v>
      </c>
      <c r="D186" s="3" t="s">
        <v>175</v>
      </c>
      <c r="E186" s="3" t="s">
        <v>176</v>
      </c>
      <c r="F186" s="3" t="s">
        <v>177</v>
      </c>
      <c r="G186" s="3" t="s">
        <v>1115</v>
      </c>
      <c r="H186" s="3"/>
      <c r="I186" s="4">
        <v>8293503446</v>
      </c>
      <c r="J186" s="3"/>
      <c r="K186" t="b">
        <v>1</v>
      </c>
      <c r="L186" s="5">
        <v>44442</v>
      </c>
      <c r="M186" s="3" t="s">
        <v>181</v>
      </c>
      <c r="N186" s="3" t="s">
        <v>393</v>
      </c>
      <c r="O186" s="6">
        <v>44444.793483796297</v>
      </c>
      <c r="P186" s="6">
        <v>44444.793483796297</v>
      </c>
      <c r="Q186" s="3" t="s">
        <v>1062</v>
      </c>
      <c r="R186" s="3" t="s">
        <v>1062</v>
      </c>
      <c r="S186" s="7" t="s">
        <v>1068</v>
      </c>
      <c r="T186" s="3" t="s">
        <v>170</v>
      </c>
      <c r="U186" s="3" t="s">
        <v>171</v>
      </c>
    </row>
    <row r="187" spans="1:21" ht="16" x14ac:dyDescent="0.2">
      <c r="A187" s="3" t="s">
        <v>1116</v>
      </c>
      <c r="B187" s="3" t="s">
        <v>1117</v>
      </c>
      <c r="C187" s="3" t="s">
        <v>1118</v>
      </c>
      <c r="D187" s="3" t="s">
        <v>587</v>
      </c>
      <c r="E187" s="3" t="s">
        <v>587</v>
      </c>
      <c r="F187" s="3" t="s">
        <v>587</v>
      </c>
      <c r="G187" s="3"/>
      <c r="H187" s="3"/>
      <c r="I187" s="4">
        <v>8098600881</v>
      </c>
      <c r="J187" s="3"/>
      <c r="K187" t="b">
        <v>1</v>
      </c>
      <c r="L187" s="5">
        <v>44454</v>
      </c>
      <c r="M187" s="3" t="s">
        <v>181</v>
      </c>
      <c r="N187" s="3" t="s">
        <v>182</v>
      </c>
      <c r="O187" s="6">
        <v>44481.341828703706</v>
      </c>
      <c r="P187" s="6">
        <v>44444.803078703706</v>
      </c>
      <c r="Q187" s="3" t="s">
        <v>1062</v>
      </c>
      <c r="R187" s="3" t="s">
        <v>184</v>
      </c>
      <c r="S187" s="7" t="s">
        <v>1119</v>
      </c>
      <c r="T187" s="3" t="s">
        <v>170</v>
      </c>
      <c r="U187" s="3" t="s">
        <v>171</v>
      </c>
    </row>
    <row r="188" spans="1:21" ht="16" x14ac:dyDescent="0.2">
      <c r="A188" s="3" t="s">
        <v>1120</v>
      </c>
      <c r="B188" s="3" t="s">
        <v>1121</v>
      </c>
      <c r="C188" s="3" t="s">
        <v>1122</v>
      </c>
      <c r="D188" s="3" t="s">
        <v>160</v>
      </c>
      <c r="E188" s="3" t="s">
        <v>201</v>
      </c>
      <c r="F188" s="3" t="s">
        <v>160</v>
      </c>
      <c r="G188" s="3"/>
      <c r="H188" s="3"/>
      <c r="I188" s="4">
        <v>8098703310</v>
      </c>
      <c r="J188" s="3"/>
      <c r="K188" t="b">
        <v>1</v>
      </c>
      <c r="L188" s="5">
        <v>44445</v>
      </c>
      <c r="M188" s="3" t="s">
        <v>181</v>
      </c>
      <c r="N188" s="3" t="s">
        <v>393</v>
      </c>
      <c r="O188" s="6">
        <v>44445.337627314817</v>
      </c>
      <c r="P188" s="6">
        <v>44445.337627314817</v>
      </c>
      <c r="Q188" s="3" t="s">
        <v>570</v>
      </c>
      <c r="R188" s="3" t="s">
        <v>570</v>
      </c>
      <c r="S188" s="7" t="s">
        <v>1123</v>
      </c>
      <c r="T188" s="3" t="s">
        <v>170</v>
      </c>
      <c r="U188" s="3" t="s">
        <v>171</v>
      </c>
    </row>
    <row r="189" spans="1:21" ht="16" x14ac:dyDescent="0.2">
      <c r="A189" s="3" t="s">
        <v>1124</v>
      </c>
      <c r="B189" s="3" t="s">
        <v>1125</v>
      </c>
      <c r="C189" s="3" t="s">
        <v>1126</v>
      </c>
      <c r="D189" s="3" t="s">
        <v>175</v>
      </c>
      <c r="E189" s="3" t="s">
        <v>176</v>
      </c>
      <c r="F189" s="3" t="s">
        <v>177</v>
      </c>
      <c r="G189" s="3" t="s">
        <v>1127</v>
      </c>
      <c r="H189" s="3" t="s">
        <v>1128</v>
      </c>
      <c r="I189" s="4">
        <v>8293879965</v>
      </c>
      <c r="J189" s="3"/>
      <c r="K189" t="b">
        <v>1</v>
      </c>
      <c r="L189" s="5">
        <v>44445</v>
      </c>
      <c r="M189" s="3" t="s">
        <v>181</v>
      </c>
      <c r="N189" s="3" t="s">
        <v>393</v>
      </c>
      <c r="O189" s="6">
        <v>44445.519062500003</v>
      </c>
      <c r="P189" s="6">
        <v>44445.519062500003</v>
      </c>
      <c r="Q189" s="3" t="s">
        <v>570</v>
      </c>
      <c r="R189" s="3" t="s">
        <v>570</v>
      </c>
      <c r="S189" s="7" t="s">
        <v>616</v>
      </c>
      <c r="T189" s="3" t="s">
        <v>170</v>
      </c>
      <c r="U189" s="3" t="s">
        <v>171</v>
      </c>
    </row>
    <row r="190" spans="1:21" ht="16" x14ac:dyDescent="0.2">
      <c r="A190" s="3" t="s">
        <v>1129</v>
      </c>
      <c r="B190" s="3" t="s">
        <v>1130</v>
      </c>
      <c r="C190" s="3" t="s">
        <v>1131</v>
      </c>
      <c r="D190" s="3" t="s">
        <v>175</v>
      </c>
      <c r="E190" s="3" t="s">
        <v>161</v>
      </c>
      <c r="F190" s="3" t="s">
        <v>162</v>
      </c>
      <c r="G190" s="3" t="s">
        <v>1132</v>
      </c>
      <c r="H190" s="3"/>
      <c r="I190" s="4">
        <v>8294568357</v>
      </c>
      <c r="J190" s="3"/>
      <c r="K190" t="b">
        <v>1</v>
      </c>
      <c r="L190" s="5">
        <v>44445</v>
      </c>
      <c r="M190" s="3" t="s">
        <v>181</v>
      </c>
      <c r="N190" s="3" t="s">
        <v>393</v>
      </c>
      <c r="O190" s="6">
        <v>44445.685381944444</v>
      </c>
      <c r="P190" s="6">
        <v>44445.685381944444</v>
      </c>
      <c r="Q190" s="3" t="s">
        <v>1062</v>
      </c>
      <c r="R190" s="3" t="s">
        <v>1062</v>
      </c>
      <c r="S190" s="7" t="s">
        <v>1068</v>
      </c>
      <c r="T190" s="3" t="s">
        <v>170</v>
      </c>
      <c r="U190" s="3" t="s">
        <v>171</v>
      </c>
    </row>
    <row r="191" spans="1:21" ht="16" x14ac:dyDescent="0.2">
      <c r="A191" s="3" t="s">
        <v>1133</v>
      </c>
      <c r="B191" s="3" t="s">
        <v>1134</v>
      </c>
      <c r="C191" s="3" t="s">
        <v>1135</v>
      </c>
      <c r="D191" s="3" t="s">
        <v>175</v>
      </c>
      <c r="E191" s="3" t="s">
        <v>176</v>
      </c>
      <c r="F191" s="3" t="s">
        <v>177</v>
      </c>
      <c r="G191" s="3" t="s">
        <v>1136</v>
      </c>
      <c r="H191" s="3"/>
      <c r="I191" s="4">
        <v>8299386581</v>
      </c>
      <c r="J191" s="3"/>
      <c r="K191" t="b">
        <v>1</v>
      </c>
      <c r="L191" s="5">
        <v>44445</v>
      </c>
      <c r="M191" s="3" t="s">
        <v>181</v>
      </c>
      <c r="N191" s="3" t="s">
        <v>182</v>
      </c>
      <c r="O191" s="6">
        <v>44451.414976851855</v>
      </c>
      <c r="P191" s="6">
        <v>44451.414976851855</v>
      </c>
      <c r="Q191" s="3" t="s">
        <v>1062</v>
      </c>
      <c r="R191" s="3" t="s">
        <v>1062</v>
      </c>
      <c r="S191" s="7" t="s">
        <v>1119</v>
      </c>
      <c r="T191" s="3" t="s">
        <v>170</v>
      </c>
      <c r="U191" s="3" t="s">
        <v>171</v>
      </c>
    </row>
    <row r="192" spans="1:21" ht="16" x14ac:dyDescent="0.2">
      <c r="A192" s="3" t="s">
        <v>1137</v>
      </c>
      <c r="B192" s="3" t="s">
        <v>1138</v>
      </c>
      <c r="C192" s="3" t="s">
        <v>1139</v>
      </c>
      <c r="D192" s="3" t="s">
        <v>175</v>
      </c>
      <c r="E192" s="3" t="s">
        <v>176</v>
      </c>
      <c r="F192" s="3" t="s">
        <v>177</v>
      </c>
      <c r="G192" s="3" t="s">
        <v>1140</v>
      </c>
      <c r="H192" s="3"/>
      <c r="I192" s="4">
        <v>8096622101</v>
      </c>
      <c r="J192" s="3"/>
      <c r="K192" t="b">
        <v>1</v>
      </c>
      <c r="L192" s="5">
        <v>44325</v>
      </c>
      <c r="M192" s="3" t="s">
        <v>181</v>
      </c>
      <c r="N192" s="3" t="s">
        <v>182</v>
      </c>
      <c r="O192" s="6">
        <v>44452.509513888886</v>
      </c>
      <c r="P192" s="6">
        <v>44452.509513888886</v>
      </c>
      <c r="Q192" s="3" t="s">
        <v>2569</v>
      </c>
      <c r="R192" s="3" t="s">
        <v>2569</v>
      </c>
      <c r="S192" s="7" t="s">
        <v>1141</v>
      </c>
      <c r="T192" s="3" t="s">
        <v>170</v>
      </c>
      <c r="U192" s="3" t="s">
        <v>171</v>
      </c>
    </row>
    <row r="193" spans="1:21" x14ac:dyDescent="0.2">
      <c r="A193" s="3" t="s">
        <v>1142</v>
      </c>
      <c r="B193" s="3" t="s">
        <v>1143</v>
      </c>
      <c r="C193" s="3" t="s">
        <v>1144</v>
      </c>
      <c r="D193" s="3" t="s">
        <v>175</v>
      </c>
      <c r="E193" s="3" t="s">
        <v>161</v>
      </c>
      <c r="F193" s="3" t="s">
        <v>177</v>
      </c>
      <c r="G193" s="3" t="s">
        <v>1145</v>
      </c>
      <c r="H193" s="3"/>
      <c r="I193" s="4">
        <v>8295100704</v>
      </c>
      <c r="J193" s="3"/>
      <c r="K193" t="b">
        <v>1</v>
      </c>
      <c r="L193" s="5">
        <v>44452</v>
      </c>
      <c r="M193" s="3" t="s">
        <v>181</v>
      </c>
      <c r="N193" s="3" t="s">
        <v>182</v>
      </c>
      <c r="O193" s="6">
        <v>44453.511944444443</v>
      </c>
      <c r="P193" s="6">
        <v>44453.511944444443</v>
      </c>
      <c r="Q193" s="3" t="s">
        <v>2569</v>
      </c>
      <c r="R193" s="3" t="s">
        <v>2569</v>
      </c>
      <c r="S193" s="7"/>
      <c r="T193" s="3" t="s">
        <v>170</v>
      </c>
      <c r="U193" s="3" t="s">
        <v>171</v>
      </c>
    </row>
    <row r="194" spans="1:21" ht="16" x14ac:dyDescent="0.2">
      <c r="A194" s="3" t="s">
        <v>1146</v>
      </c>
      <c r="B194" s="3" t="s">
        <v>1147</v>
      </c>
      <c r="C194" s="3" t="s">
        <v>1148</v>
      </c>
      <c r="D194" s="3" t="s">
        <v>175</v>
      </c>
      <c r="E194" s="3" t="s">
        <v>176</v>
      </c>
      <c r="F194" s="3" t="s">
        <v>177</v>
      </c>
      <c r="G194" s="3" t="s">
        <v>1149</v>
      </c>
      <c r="H194" s="3"/>
      <c r="I194" s="4">
        <v>8094414114</v>
      </c>
      <c r="J194" s="3"/>
      <c r="K194" t="b">
        <v>1</v>
      </c>
      <c r="L194" s="5">
        <v>44452</v>
      </c>
      <c r="M194" s="3" t="s">
        <v>181</v>
      </c>
      <c r="N194" s="3" t="s">
        <v>182</v>
      </c>
      <c r="O194" s="6">
        <v>44453.557673611111</v>
      </c>
      <c r="P194" s="6">
        <v>44453.557673611111</v>
      </c>
      <c r="Q194" s="3" t="s">
        <v>2337</v>
      </c>
      <c r="R194" s="3" t="s">
        <v>2337</v>
      </c>
      <c r="S194" s="7" t="s">
        <v>1150</v>
      </c>
      <c r="T194" s="3" t="s">
        <v>170</v>
      </c>
      <c r="U194" s="3" t="s">
        <v>171</v>
      </c>
    </row>
    <row r="195" spans="1:21" ht="16" x14ac:dyDescent="0.2">
      <c r="A195" s="3" t="s">
        <v>1151</v>
      </c>
      <c r="B195" s="3" t="s">
        <v>1152</v>
      </c>
      <c r="C195" s="3" t="s">
        <v>1153</v>
      </c>
      <c r="D195" s="3" t="s">
        <v>175</v>
      </c>
      <c r="E195" s="3" t="s">
        <v>176</v>
      </c>
      <c r="F195" s="3" t="s">
        <v>177</v>
      </c>
      <c r="G195" s="3" t="s">
        <v>1154</v>
      </c>
      <c r="H195" s="3"/>
      <c r="I195" s="4">
        <v>8297190999</v>
      </c>
      <c r="J195" s="3"/>
      <c r="K195" t="b">
        <v>1</v>
      </c>
      <c r="L195" s="5">
        <v>44447</v>
      </c>
      <c r="M195" s="3" t="s">
        <v>181</v>
      </c>
      <c r="N195" s="3" t="s">
        <v>182</v>
      </c>
      <c r="O195" s="6">
        <v>44454.888240740744</v>
      </c>
      <c r="P195" s="6">
        <v>44454.888240740744</v>
      </c>
      <c r="Q195" s="3" t="s">
        <v>716</v>
      </c>
      <c r="R195" s="3" t="s">
        <v>716</v>
      </c>
      <c r="S195" s="7" t="s">
        <v>1155</v>
      </c>
      <c r="T195" s="3" t="s">
        <v>170</v>
      </c>
      <c r="U195" s="3" t="s">
        <v>171</v>
      </c>
    </row>
    <row r="196" spans="1:21" ht="16" x14ac:dyDescent="0.2">
      <c r="A196" s="3" t="s">
        <v>1156</v>
      </c>
      <c r="B196" s="3" t="s">
        <v>1157</v>
      </c>
      <c r="C196" s="3" t="s">
        <v>1158</v>
      </c>
      <c r="D196" s="3" t="s">
        <v>175</v>
      </c>
      <c r="E196" s="3" t="s">
        <v>176</v>
      </c>
      <c r="F196" s="3" t="s">
        <v>177</v>
      </c>
      <c r="G196" s="3" t="s">
        <v>1159</v>
      </c>
      <c r="H196" s="3"/>
      <c r="I196" s="4">
        <v>8098854879</v>
      </c>
      <c r="J196" s="3"/>
      <c r="K196" t="b">
        <v>1</v>
      </c>
      <c r="L196" s="5">
        <v>44448</v>
      </c>
      <c r="M196" s="3" t="s">
        <v>181</v>
      </c>
      <c r="N196" s="3" t="s">
        <v>393</v>
      </c>
      <c r="O196" s="6">
        <v>44454.890462962961</v>
      </c>
      <c r="P196" s="6">
        <v>44454.890462962961</v>
      </c>
      <c r="Q196" s="3" t="s">
        <v>716</v>
      </c>
      <c r="R196" s="3" t="s">
        <v>716</v>
      </c>
      <c r="S196" s="7" t="s">
        <v>1160</v>
      </c>
      <c r="T196" s="3" t="s">
        <v>170</v>
      </c>
      <c r="U196" s="3" t="s">
        <v>171</v>
      </c>
    </row>
    <row r="197" spans="1:21" ht="16" x14ac:dyDescent="0.2">
      <c r="A197" s="3" t="s">
        <v>1161</v>
      </c>
      <c r="B197" s="3" t="s">
        <v>1162</v>
      </c>
      <c r="C197" s="3" t="s">
        <v>1163</v>
      </c>
      <c r="D197" s="3" t="s">
        <v>175</v>
      </c>
      <c r="E197" s="3" t="s">
        <v>176</v>
      </c>
      <c r="F197" s="3" t="s">
        <v>177</v>
      </c>
      <c r="G197" s="3" t="s">
        <v>1164</v>
      </c>
      <c r="H197" s="3" t="s">
        <v>1165</v>
      </c>
      <c r="I197" s="4">
        <v>8294471732</v>
      </c>
      <c r="J197" s="3"/>
      <c r="K197" t="b">
        <v>1</v>
      </c>
      <c r="L197" s="5">
        <v>44441</v>
      </c>
      <c r="M197" s="3" t="s">
        <v>181</v>
      </c>
      <c r="N197" s="3" t="s">
        <v>393</v>
      </c>
      <c r="O197" s="6">
        <v>44455.777731481481</v>
      </c>
      <c r="P197" s="6">
        <v>44455.777731481481</v>
      </c>
      <c r="Q197" s="3" t="s">
        <v>780</v>
      </c>
      <c r="R197" s="3" t="s">
        <v>780</v>
      </c>
      <c r="S197" s="7" t="s">
        <v>1166</v>
      </c>
      <c r="T197" s="3" t="s">
        <v>170</v>
      </c>
      <c r="U197" s="3" t="s">
        <v>171</v>
      </c>
    </row>
    <row r="198" spans="1:21" ht="16" x14ac:dyDescent="0.2">
      <c r="A198" s="3" t="s">
        <v>1167</v>
      </c>
      <c r="B198" s="3" t="s">
        <v>1168</v>
      </c>
      <c r="C198" s="3" t="s">
        <v>1169</v>
      </c>
      <c r="D198" s="3" t="s">
        <v>175</v>
      </c>
      <c r="E198" s="3" t="s">
        <v>176</v>
      </c>
      <c r="F198" s="3" t="s">
        <v>177</v>
      </c>
      <c r="G198" s="3" t="s">
        <v>1170</v>
      </c>
      <c r="H198" s="3" t="s">
        <v>1171</v>
      </c>
      <c r="I198" s="4">
        <v>8292219950</v>
      </c>
      <c r="J198" s="3"/>
      <c r="K198" t="b">
        <v>1</v>
      </c>
      <c r="L198" s="5">
        <v>44452</v>
      </c>
      <c r="M198" s="3" t="s">
        <v>181</v>
      </c>
      <c r="N198" s="3" t="s">
        <v>182</v>
      </c>
      <c r="O198" s="6">
        <v>44455.78528935185</v>
      </c>
      <c r="P198" s="6">
        <v>44455.78528935185</v>
      </c>
      <c r="Q198" s="3" t="s">
        <v>780</v>
      </c>
      <c r="R198" s="3" t="s">
        <v>780</v>
      </c>
      <c r="S198" s="7" t="s">
        <v>1172</v>
      </c>
      <c r="T198" s="3" t="s">
        <v>170</v>
      </c>
      <c r="U198" s="3" t="s">
        <v>171</v>
      </c>
    </row>
    <row r="199" spans="1:21" ht="16" x14ac:dyDescent="0.2">
      <c r="A199" s="3" t="s">
        <v>1173</v>
      </c>
      <c r="B199" s="3" t="s">
        <v>1174</v>
      </c>
      <c r="C199" s="3" t="s">
        <v>1175</v>
      </c>
      <c r="D199" s="3" t="s">
        <v>175</v>
      </c>
      <c r="E199" s="3" t="s">
        <v>176</v>
      </c>
      <c r="F199" s="3" t="s">
        <v>177</v>
      </c>
      <c r="G199" s="3" t="s">
        <v>1176</v>
      </c>
      <c r="H199" s="3" t="s">
        <v>1177</v>
      </c>
      <c r="I199" s="4">
        <v>8292461915</v>
      </c>
      <c r="J199" s="3"/>
      <c r="K199" t="b">
        <v>1</v>
      </c>
      <c r="L199" s="5">
        <v>44453</v>
      </c>
      <c r="M199" s="3" t="s">
        <v>181</v>
      </c>
      <c r="N199" s="3" t="s">
        <v>182</v>
      </c>
      <c r="O199" s="6">
        <v>44455.811053240737</v>
      </c>
      <c r="P199" s="6">
        <v>44455.811053240737</v>
      </c>
      <c r="Q199" s="3" t="s">
        <v>780</v>
      </c>
      <c r="R199" s="3" t="s">
        <v>780</v>
      </c>
      <c r="S199" s="7" t="s">
        <v>799</v>
      </c>
      <c r="T199" s="3" t="s">
        <v>170</v>
      </c>
      <c r="U199" s="3" t="s">
        <v>171</v>
      </c>
    </row>
    <row r="200" spans="1:21" ht="16" x14ac:dyDescent="0.2">
      <c r="A200" s="3" t="s">
        <v>2340</v>
      </c>
      <c r="B200" s="3" t="s">
        <v>2341</v>
      </c>
      <c r="C200" s="3" t="s">
        <v>1838</v>
      </c>
      <c r="D200" s="3" t="s">
        <v>175</v>
      </c>
      <c r="E200" s="3" t="s">
        <v>176</v>
      </c>
      <c r="F200" s="3" t="s">
        <v>177</v>
      </c>
      <c r="G200" s="3" t="s">
        <v>2342</v>
      </c>
      <c r="H200" s="3"/>
      <c r="I200" s="4">
        <v>8496381882</v>
      </c>
      <c r="J200" s="3"/>
      <c r="K200" t="b">
        <v>1</v>
      </c>
      <c r="L200" s="5">
        <v>44460</v>
      </c>
      <c r="M200" s="3" t="s">
        <v>181</v>
      </c>
      <c r="N200" s="3" t="s">
        <v>393</v>
      </c>
      <c r="O200" s="6">
        <v>44468.866226851853</v>
      </c>
      <c r="P200" s="6">
        <v>44468.866226851853</v>
      </c>
      <c r="Q200" s="3" t="s">
        <v>1062</v>
      </c>
      <c r="R200" s="3" t="s">
        <v>1062</v>
      </c>
      <c r="S200" s="7" t="s">
        <v>796</v>
      </c>
      <c r="T200" s="3" t="s">
        <v>170</v>
      </c>
      <c r="U200" s="3" t="s">
        <v>171</v>
      </c>
    </row>
    <row r="201" spans="1:21" ht="16" x14ac:dyDescent="0.2">
      <c r="A201" s="59" t="s">
        <v>2343</v>
      </c>
      <c r="B201" s="59" t="s">
        <v>2344</v>
      </c>
      <c r="C201" s="59" t="s">
        <v>2345</v>
      </c>
      <c r="D201" s="3" t="s">
        <v>175</v>
      </c>
      <c r="E201" s="3" t="s">
        <v>176</v>
      </c>
      <c r="F201" s="3" t="s">
        <v>177</v>
      </c>
      <c r="G201" s="59" t="s">
        <v>2346</v>
      </c>
      <c r="H201" s="59"/>
      <c r="I201" s="4">
        <v>8098656357</v>
      </c>
      <c r="J201" s="59"/>
      <c r="K201" s="8" t="b">
        <v>1</v>
      </c>
      <c r="L201" s="5">
        <v>44452</v>
      </c>
      <c r="M201" s="3" t="s">
        <v>181</v>
      </c>
      <c r="N201" s="3" t="s">
        <v>393</v>
      </c>
      <c r="O201" s="6">
        <v>44481.530543981484</v>
      </c>
      <c r="P201" s="6">
        <v>44468.869976851849</v>
      </c>
      <c r="Q201" s="3" t="s">
        <v>1062</v>
      </c>
      <c r="R201" s="3" t="s">
        <v>184</v>
      </c>
      <c r="S201" s="7" t="s">
        <v>2347</v>
      </c>
      <c r="T201" s="59" t="s">
        <v>170</v>
      </c>
      <c r="U201" s="59" t="s">
        <v>171</v>
      </c>
    </row>
    <row r="202" spans="1:21" ht="16" x14ac:dyDescent="0.2">
      <c r="A202" s="59" t="s">
        <v>2348</v>
      </c>
      <c r="B202" s="59" t="s">
        <v>2349</v>
      </c>
      <c r="C202" s="59" t="s">
        <v>2350</v>
      </c>
      <c r="D202" s="3" t="s">
        <v>175</v>
      </c>
      <c r="E202" s="3" t="s">
        <v>176</v>
      </c>
      <c r="F202" s="3" t="s">
        <v>177</v>
      </c>
      <c r="G202" s="59" t="s">
        <v>2351</v>
      </c>
      <c r="H202" s="59"/>
      <c r="I202" s="4">
        <v>8098188784</v>
      </c>
      <c r="J202" s="59"/>
      <c r="K202" s="8" t="b">
        <v>1</v>
      </c>
      <c r="L202" s="5">
        <v>44466</v>
      </c>
      <c r="M202" s="3" t="s">
        <v>181</v>
      </c>
      <c r="N202" s="3" t="s">
        <v>393</v>
      </c>
      <c r="O202" s="6">
        <v>44469.313460648147</v>
      </c>
      <c r="P202" s="6">
        <v>44469.313460648147</v>
      </c>
      <c r="Q202" s="3" t="s">
        <v>918</v>
      </c>
      <c r="R202" s="3" t="s">
        <v>918</v>
      </c>
      <c r="S202" s="7" t="s">
        <v>2352</v>
      </c>
      <c r="T202" s="59" t="s">
        <v>170</v>
      </c>
      <c r="U202" s="59" t="s">
        <v>171</v>
      </c>
    </row>
    <row r="203" spans="1:21" ht="16" x14ac:dyDescent="0.2">
      <c r="A203" s="59" t="s">
        <v>2353</v>
      </c>
      <c r="B203" s="59" t="s">
        <v>2354</v>
      </c>
      <c r="C203" s="59" t="s">
        <v>2355</v>
      </c>
      <c r="D203" s="3" t="s">
        <v>160</v>
      </c>
      <c r="E203" s="3" t="s">
        <v>201</v>
      </c>
      <c r="F203" s="3" t="s">
        <v>160</v>
      </c>
      <c r="G203" s="59"/>
      <c r="H203" s="59" t="s">
        <v>2140</v>
      </c>
      <c r="I203" s="4">
        <v>8492876348</v>
      </c>
      <c r="J203" s="59"/>
      <c r="K203" s="8" t="b">
        <v>1</v>
      </c>
      <c r="L203" s="5">
        <v>44470</v>
      </c>
      <c r="M203" s="3" t="s">
        <v>181</v>
      </c>
      <c r="N203" s="3" t="s">
        <v>182</v>
      </c>
      <c r="O203" s="6">
        <v>44470.850231481483</v>
      </c>
      <c r="P203" s="6">
        <v>44470.850231481483</v>
      </c>
      <c r="Q203" s="3" t="s">
        <v>780</v>
      </c>
      <c r="R203" s="3" t="s">
        <v>780</v>
      </c>
      <c r="S203" s="7" t="s">
        <v>2356</v>
      </c>
      <c r="T203" s="59" t="s">
        <v>170</v>
      </c>
      <c r="U203" s="59" t="s">
        <v>171</v>
      </c>
    </row>
    <row r="204" spans="1:21" ht="16" x14ac:dyDescent="0.2">
      <c r="A204" s="59" t="s">
        <v>2357</v>
      </c>
      <c r="B204" s="59" t="s">
        <v>2358</v>
      </c>
      <c r="C204" s="59" t="s">
        <v>2359</v>
      </c>
      <c r="D204" s="3" t="s">
        <v>175</v>
      </c>
      <c r="E204" s="3" t="s">
        <v>243</v>
      </c>
      <c r="F204" s="3" t="s">
        <v>177</v>
      </c>
      <c r="G204" s="59" t="s">
        <v>2385</v>
      </c>
      <c r="H204" s="59" t="s">
        <v>2139</v>
      </c>
      <c r="I204" s="4">
        <v>8297300237</v>
      </c>
      <c r="J204" s="59"/>
      <c r="K204" s="8" t="b">
        <v>1</v>
      </c>
      <c r="L204" s="5">
        <v>44459</v>
      </c>
      <c r="M204" s="3" t="s">
        <v>181</v>
      </c>
      <c r="N204" s="3" t="s">
        <v>182</v>
      </c>
      <c r="O204" s="6">
        <v>44482.366423611114</v>
      </c>
      <c r="P204" s="6">
        <v>44470.87091435185</v>
      </c>
      <c r="Q204" s="3" t="s">
        <v>780</v>
      </c>
      <c r="R204" s="3" t="s">
        <v>184</v>
      </c>
      <c r="S204" s="7" t="s">
        <v>2360</v>
      </c>
      <c r="T204" s="59" t="s">
        <v>170</v>
      </c>
      <c r="U204" s="59" t="s">
        <v>171</v>
      </c>
    </row>
    <row r="205" spans="1:21" ht="16" x14ac:dyDescent="0.2">
      <c r="A205" s="59" t="s">
        <v>2361</v>
      </c>
      <c r="B205" s="59" t="s">
        <v>2362</v>
      </c>
      <c r="C205" s="59" t="s">
        <v>2363</v>
      </c>
      <c r="D205" s="3" t="s">
        <v>175</v>
      </c>
      <c r="E205" s="3" t="s">
        <v>176</v>
      </c>
      <c r="F205" s="3" t="s">
        <v>177</v>
      </c>
      <c r="G205" s="59" t="s">
        <v>2364</v>
      </c>
      <c r="H205" s="59" t="s">
        <v>2135</v>
      </c>
      <c r="I205" s="4">
        <v>8092995703</v>
      </c>
      <c r="J205" s="59"/>
      <c r="K205" s="8" t="b">
        <v>1</v>
      </c>
      <c r="L205" s="5">
        <v>44466</v>
      </c>
      <c r="M205" s="3" t="s">
        <v>181</v>
      </c>
      <c r="N205" s="3" t="s">
        <v>182</v>
      </c>
      <c r="O205" s="6">
        <v>44480.315208333333</v>
      </c>
      <c r="P205" s="6">
        <v>44470.906875000001</v>
      </c>
      <c r="Q205" s="3" t="s">
        <v>780</v>
      </c>
      <c r="R205" s="3" t="s">
        <v>184</v>
      </c>
      <c r="S205" s="7" t="s">
        <v>2365</v>
      </c>
      <c r="T205" s="59" t="s">
        <v>170</v>
      </c>
      <c r="U205" s="59" t="s">
        <v>171</v>
      </c>
    </row>
    <row r="206" spans="1:21" ht="16" x14ac:dyDescent="0.2">
      <c r="A206" s="59" t="s">
        <v>2366</v>
      </c>
      <c r="B206" s="59" t="s">
        <v>2367</v>
      </c>
      <c r="C206" s="59" t="s">
        <v>2368</v>
      </c>
      <c r="D206" s="3" t="s">
        <v>160</v>
      </c>
      <c r="E206" s="3" t="s">
        <v>201</v>
      </c>
      <c r="F206" s="3" t="s">
        <v>160</v>
      </c>
      <c r="G206" s="59" t="s">
        <v>2369</v>
      </c>
      <c r="H206" s="59"/>
      <c r="I206" s="4">
        <v>8492699761</v>
      </c>
      <c r="J206" s="59"/>
      <c r="K206" s="8" t="b">
        <v>1</v>
      </c>
      <c r="L206" s="5">
        <v>44475</v>
      </c>
      <c r="M206" s="3" t="s">
        <v>181</v>
      </c>
      <c r="N206" s="3" t="s">
        <v>182</v>
      </c>
      <c r="O206" s="6">
        <v>44478.275717592594</v>
      </c>
      <c r="P206" s="6">
        <v>44478.275717592594</v>
      </c>
      <c r="Q206" s="3" t="s">
        <v>918</v>
      </c>
      <c r="R206" s="3" t="s">
        <v>918</v>
      </c>
      <c r="S206" s="7" t="s">
        <v>2370</v>
      </c>
      <c r="T206" s="59" t="s">
        <v>170</v>
      </c>
      <c r="U206" s="59" t="s">
        <v>171</v>
      </c>
    </row>
    <row r="207" spans="1:21" ht="16" x14ac:dyDescent="0.2">
      <c r="A207" s="59" t="s">
        <v>2386</v>
      </c>
      <c r="B207" s="59" t="s">
        <v>2387</v>
      </c>
      <c r="C207" s="59" t="s">
        <v>2388</v>
      </c>
      <c r="D207" s="3" t="s">
        <v>175</v>
      </c>
      <c r="E207" s="3" t="s">
        <v>176</v>
      </c>
      <c r="F207" s="3" t="s">
        <v>177</v>
      </c>
      <c r="G207" s="59" t="s">
        <v>2389</v>
      </c>
      <c r="H207" s="59"/>
      <c r="I207" s="4">
        <v>8097073277</v>
      </c>
      <c r="J207" s="59"/>
      <c r="K207" s="8" t="b">
        <v>1</v>
      </c>
      <c r="L207" s="5">
        <v>44482</v>
      </c>
      <c r="M207" s="3" t="s">
        <v>181</v>
      </c>
      <c r="N207" s="3" t="s">
        <v>393</v>
      </c>
      <c r="O207" s="6">
        <v>44482.307812500003</v>
      </c>
      <c r="P207" s="6">
        <v>44482.307812500003</v>
      </c>
      <c r="Q207" s="3" t="s">
        <v>570</v>
      </c>
      <c r="R207" s="3" t="s">
        <v>570</v>
      </c>
      <c r="S207" s="7" t="s">
        <v>616</v>
      </c>
      <c r="T207" s="59" t="s">
        <v>170</v>
      </c>
      <c r="U207" s="59" t="s">
        <v>171</v>
      </c>
    </row>
    <row r="208" spans="1:21" ht="16" x14ac:dyDescent="0.2">
      <c r="A208" s="59" t="s">
        <v>2390</v>
      </c>
      <c r="B208" s="59" t="s">
        <v>2391</v>
      </c>
      <c r="C208" s="59" t="s">
        <v>2392</v>
      </c>
      <c r="D208" s="3" t="s">
        <v>175</v>
      </c>
      <c r="E208" s="3" t="s">
        <v>176</v>
      </c>
      <c r="F208" s="3" t="s">
        <v>177</v>
      </c>
      <c r="G208" s="59" t="s">
        <v>2393</v>
      </c>
      <c r="H208" s="59"/>
      <c r="I208" s="4">
        <v>8092254108</v>
      </c>
      <c r="J208" s="59"/>
      <c r="K208" s="8" t="b">
        <v>1</v>
      </c>
      <c r="L208" s="5">
        <v>44482</v>
      </c>
      <c r="M208" s="3" t="s">
        <v>181</v>
      </c>
      <c r="N208" s="3" t="s">
        <v>182</v>
      </c>
      <c r="O208" s="6">
        <v>44482.310543981483</v>
      </c>
      <c r="P208" s="6">
        <v>44482.310543981483</v>
      </c>
      <c r="Q208" s="3" t="s">
        <v>570</v>
      </c>
      <c r="R208" s="3" t="s">
        <v>570</v>
      </c>
      <c r="S208" s="7" t="s">
        <v>2394</v>
      </c>
      <c r="T208" s="59" t="s">
        <v>170</v>
      </c>
      <c r="U208" s="59" t="s">
        <v>171</v>
      </c>
    </row>
    <row r="209" spans="1:21" x14ac:dyDescent="0.2">
      <c r="A209" s="59" t="s">
        <v>2411</v>
      </c>
      <c r="B209" s="59" t="s">
        <v>2400</v>
      </c>
      <c r="C209" s="59" t="s">
        <v>2401</v>
      </c>
      <c r="D209" s="3" t="s">
        <v>175</v>
      </c>
      <c r="E209" s="3" t="s">
        <v>176</v>
      </c>
      <c r="F209" s="3" t="s">
        <v>177</v>
      </c>
      <c r="G209" s="59" t="s">
        <v>2402</v>
      </c>
      <c r="H209" s="59"/>
      <c r="I209" s="4">
        <v>8492625238</v>
      </c>
      <c r="J209" s="59"/>
      <c r="K209" s="8" t="b">
        <v>1</v>
      </c>
      <c r="L209" s="5">
        <v>44470</v>
      </c>
      <c r="M209" s="3" t="s">
        <v>181</v>
      </c>
      <c r="N209" s="3" t="s">
        <v>393</v>
      </c>
      <c r="O209" s="6">
        <v>44484.45076388889</v>
      </c>
      <c r="P209" s="6">
        <v>44484.331875000003</v>
      </c>
      <c r="Q209" s="3" t="s">
        <v>2569</v>
      </c>
      <c r="R209" s="3" t="s">
        <v>184</v>
      </c>
      <c r="S209" s="7"/>
      <c r="T209" s="59" t="s">
        <v>170</v>
      </c>
      <c r="U209" s="59" t="s">
        <v>171</v>
      </c>
    </row>
    <row r="210" spans="1:21" ht="16" x14ac:dyDescent="0.2">
      <c r="A210" s="59" t="s">
        <v>2412</v>
      </c>
      <c r="B210" s="59" t="s">
        <v>2413</v>
      </c>
      <c r="C210" s="59" t="s">
        <v>2414</v>
      </c>
      <c r="D210" s="3" t="s">
        <v>175</v>
      </c>
      <c r="E210" s="3" t="s">
        <v>201</v>
      </c>
      <c r="F210" s="3" t="s">
        <v>177</v>
      </c>
      <c r="G210" s="59" t="s">
        <v>2415</v>
      </c>
      <c r="H210" s="59"/>
      <c r="I210" s="4">
        <v>8096399961</v>
      </c>
      <c r="J210" s="59"/>
      <c r="K210" s="8" t="b">
        <v>1</v>
      </c>
      <c r="L210" s="5">
        <v>44481</v>
      </c>
      <c r="M210" s="3" t="s">
        <v>181</v>
      </c>
      <c r="N210" s="3" t="s">
        <v>182</v>
      </c>
      <c r="O210" s="6">
        <v>44484.483460648145</v>
      </c>
      <c r="P210" s="6">
        <v>44484.483460648145</v>
      </c>
      <c r="Q210" s="3" t="s">
        <v>1062</v>
      </c>
      <c r="R210" s="3" t="s">
        <v>1062</v>
      </c>
      <c r="S210" s="7" t="s">
        <v>1068</v>
      </c>
      <c r="T210" s="59" t="s">
        <v>170</v>
      </c>
      <c r="U210" s="59" t="s">
        <v>171</v>
      </c>
    </row>
    <row r="211" spans="1:21" ht="16" x14ac:dyDescent="0.2">
      <c r="A211" s="59" t="s">
        <v>2416</v>
      </c>
      <c r="B211" s="59" t="s">
        <v>2417</v>
      </c>
      <c r="C211" s="59" t="s">
        <v>2418</v>
      </c>
      <c r="D211" s="3" t="s">
        <v>175</v>
      </c>
      <c r="E211" s="3" t="s">
        <v>201</v>
      </c>
      <c r="F211" s="3" t="s">
        <v>177</v>
      </c>
      <c r="G211" s="59" t="s">
        <v>2419</v>
      </c>
      <c r="H211" s="59"/>
      <c r="I211" s="4">
        <v>8298587719</v>
      </c>
      <c r="J211" s="59"/>
      <c r="K211" s="8" t="b">
        <v>1</v>
      </c>
      <c r="L211" s="5">
        <v>44481</v>
      </c>
      <c r="M211" s="3" t="s">
        <v>181</v>
      </c>
      <c r="N211" s="3" t="s">
        <v>182</v>
      </c>
      <c r="O211" s="6">
        <v>44484.48537037037</v>
      </c>
      <c r="P211" s="6">
        <v>44484.48537037037</v>
      </c>
      <c r="Q211" s="3" t="s">
        <v>1062</v>
      </c>
      <c r="R211" s="3" t="s">
        <v>1062</v>
      </c>
      <c r="S211" s="7" t="s">
        <v>1068</v>
      </c>
      <c r="T211" s="59" t="s">
        <v>170</v>
      </c>
      <c r="U211" s="59" t="s">
        <v>171</v>
      </c>
    </row>
    <row r="212" spans="1:21" x14ac:dyDescent="0.2">
      <c r="A212" s="59" t="s">
        <v>1675</v>
      </c>
      <c r="B212" s="59" t="s">
        <v>2420</v>
      </c>
      <c r="C212" s="59" t="s">
        <v>2421</v>
      </c>
      <c r="D212" s="3" t="s">
        <v>175</v>
      </c>
      <c r="E212" s="3" t="s">
        <v>282</v>
      </c>
      <c r="F212" s="3" t="s">
        <v>177</v>
      </c>
      <c r="G212" s="59" t="s">
        <v>2422</v>
      </c>
      <c r="H212" s="59"/>
      <c r="I212" s="4">
        <v>8299325400</v>
      </c>
      <c r="J212" s="59"/>
      <c r="K212" s="8" t="b">
        <v>1</v>
      </c>
      <c r="L212" s="5">
        <v>44473</v>
      </c>
      <c r="M212" s="3" t="s">
        <v>181</v>
      </c>
      <c r="N212" s="3" t="s">
        <v>393</v>
      </c>
      <c r="O212" s="6">
        <v>44484.500208333331</v>
      </c>
      <c r="P212" s="6">
        <v>44484.500208333331</v>
      </c>
      <c r="Q212" s="3" t="s">
        <v>2569</v>
      </c>
      <c r="R212" s="3" t="s">
        <v>2569</v>
      </c>
      <c r="S212" s="7"/>
      <c r="T212" s="59" t="s">
        <v>170</v>
      </c>
      <c r="U212" s="59" t="s">
        <v>171</v>
      </c>
    </row>
    <row r="213" spans="1:21" x14ac:dyDescent="0.2">
      <c r="A213" s="59" t="s">
        <v>2423</v>
      </c>
      <c r="B213" s="59" t="s">
        <v>158</v>
      </c>
      <c r="C213" s="59" t="s">
        <v>281</v>
      </c>
      <c r="D213" s="3" t="s">
        <v>175</v>
      </c>
      <c r="E213" s="3" t="s">
        <v>282</v>
      </c>
      <c r="F213" s="3" t="s">
        <v>177</v>
      </c>
      <c r="G213" s="59" t="s">
        <v>2424</v>
      </c>
      <c r="H213" s="59"/>
      <c r="I213" s="4">
        <v>8292967584</v>
      </c>
      <c r="J213" s="59"/>
      <c r="K213" s="8" t="b">
        <v>1</v>
      </c>
      <c r="L213" s="5">
        <v>44494</v>
      </c>
      <c r="M213" s="3" t="s">
        <v>181</v>
      </c>
      <c r="N213" s="3" t="s">
        <v>393</v>
      </c>
      <c r="O213" s="6">
        <v>44494.278657407405</v>
      </c>
      <c r="P213" s="6">
        <v>44484.697511574072</v>
      </c>
      <c r="Q213" s="3" t="s">
        <v>2569</v>
      </c>
      <c r="R213" s="3" t="s">
        <v>184</v>
      </c>
      <c r="S213" s="7"/>
      <c r="T213" s="59" t="s">
        <v>170</v>
      </c>
      <c r="U213" s="59" t="s">
        <v>171</v>
      </c>
    </row>
    <row r="214" spans="1:21" x14ac:dyDescent="0.2">
      <c r="A214" s="59" t="s">
        <v>2425</v>
      </c>
      <c r="B214" s="59" t="s">
        <v>2426</v>
      </c>
      <c r="C214" s="59" t="s">
        <v>1346</v>
      </c>
      <c r="D214" s="3" t="s">
        <v>175</v>
      </c>
      <c r="E214" s="3" t="s">
        <v>161</v>
      </c>
      <c r="F214" s="3" t="s">
        <v>177</v>
      </c>
      <c r="G214" s="59" t="s">
        <v>2427</v>
      </c>
      <c r="H214" s="59"/>
      <c r="I214" s="4">
        <v>8097641172</v>
      </c>
      <c r="J214" s="59"/>
      <c r="K214" s="8" t="b">
        <v>1</v>
      </c>
      <c r="L214" s="5">
        <v>44475</v>
      </c>
      <c r="M214" s="3" t="s">
        <v>181</v>
      </c>
      <c r="N214" s="3" t="s">
        <v>393</v>
      </c>
      <c r="O214" s="6">
        <v>44484.843356481484</v>
      </c>
      <c r="P214" s="6">
        <v>44484.843356481484</v>
      </c>
      <c r="Q214" s="3" t="s">
        <v>716</v>
      </c>
      <c r="R214" s="3" t="s">
        <v>716</v>
      </c>
      <c r="S214" s="7"/>
      <c r="T214" s="59" t="s">
        <v>170</v>
      </c>
      <c r="U214" s="59" t="s">
        <v>171</v>
      </c>
    </row>
    <row r="215" spans="1:21" x14ac:dyDescent="0.2">
      <c r="A215" s="59" t="s">
        <v>2428</v>
      </c>
      <c r="B215" s="59" t="s">
        <v>2429</v>
      </c>
      <c r="C215" s="59" t="s">
        <v>2430</v>
      </c>
      <c r="D215" s="3" t="s">
        <v>175</v>
      </c>
      <c r="E215" s="3" t="s">
        <v>176</v>
      </c>
      <c r="F215" s="3" t="s">
        <v>177</v>
      </c>
      <c r="G215" s="59" t="s">
        <v>2431</v>
      </c>
      <c r="H215" s="59"/>
      <c r="I215" s="4">
        <v>8098751540</v>
      </c>
      <c r="J215" s="59"/>
      <c r="K215" s="8" t="b">
        <v>1</v>
      </c>
      <c r="L215" s="5">
        <v>44473</v>
      </c>
      <c r="M215" s="3" t="s">
        <v>181</v>
      </c>
      <c r="N215" s="3" t="s">
        <v>386</v>
      </c>
      <c r="O215" s="6">
        <v>44484.858888888892</v>
      </c>
      <c r="P215" s="6">
        <v>44484.858888888892</v>
      </c>
      <c r="Q215" s="3" t="s">
        <v>716</v>
      </c>
      <c r="R215" s="3" t="s">
        <v>716</v>
      </c>
      <c r="S215" s="7"/>
      <c r="T215" s="59" t="s">
        <v>170</v>
      </c>
      <c r="U215" s="59" t="s">
        <v>171</v>
      </c>
    </row>
    <row r="216" spans="1:21" ht="16" x14ac:dyDescent="0.2">
      <c r="A216" s="59" t="s">
        <v>2432</v>
      </c>
      <c r="B216" s="59" t="s">
        <v>2433</v>
      </c>
      <c r="C216" s="59" t="s">
        <v>2434</v>
      </c>
      <c r="D216" s="3" t="s">
        <v>175</v>
      </c>
      <c r="E216" s="3" t="s">
        <v>176</v>
      </c>
      <c r="F216" s="3" t="s">
        <v>177</v>
      </c>
      <c r="G216" s="59" t="s">
        <v>2435</v>
      </c>
      <c r="H216" s="59"/>
      <c r="I216" s="4">
        <v>8293476119</v>
      </c>
      <c r="J216" s="59"/>
      <c r="K216" s="8" t="b">
        <v>1</v>
      </c>
      <c r="L216" s="5">
        <v>44467</v>
      </c>
      <c r="M216" s="3" t="s">
        <v>181</v>
      </c>
      <c r="N216" s="3" t="s">
        <v>182</v>
      </c>
      <c r="O216" s="6">
        <v>44485.260208333333</v>
      </c>
      <c r="P216" s="6">
        <v>44485.260208333333</v>
      </c>
      <c r="Q216" s="3" t="s">
        <v>167</v>
      </c>
      <c r="R216" s="3" t="s">
        <v>167</v>
      </c>
      <c r="S216" s="7" t="s">
        <v>698</v>
      </c>
      <c r="T216" s="59" t="s">
        <v>170</v>
      </c>
      <c r="U216" s="59" t="s">
        <v>171</v>
      </c>
    </row>
    <row r="217" spans="1:21" x14ac:dyDescent="0.2">
      <c r="A217" s="59" t="s">
        <v>2436</v>
      </c>
      <c r="B217" s="59" t="s">
        <v>2437</v>
      </c>
      <c r="C217" s="59" t="s">
        <v>2438</v>
      </c>
      <c r="D217" s="3" t="s">
        <v>175</v>
      </c>
      <c r="E217" s="3" t="s">
        <v>161</v>
      </c>
      <c r="F217" s="3" t="s">
        <v>177</v>
      </c>
      <c r="G217" s="59" t="s">
        <v>2439</v>
      </c>
      <c r="H217" s="59"/>
      <c r="I217" s="4">
        <v>8094806645</v>
      </c>
      <c r="J217" s="59"/>
      <c r="K217" s="8" t="b">
        <v>1</v>
      </c>
      <c r="L217" s="5">
        <v>44487</v>
      </c>
      <c r="M217" s="3" t="s">
        <v>181</v>
      </c>
      <c r="N217" s="3" t="s">
        <v>2440</v>
      </c>
      <c r="O217" s="6">
        <v>44487.242847222224</v>
      </c>
      <c r="P217" s="6">
        <v>44487.242847222224</v>
      </c>
      <c r="Q217" s="3" t="s">
        <v>184</v>
      </c>
      <c r="R217" s="3" t="s">
        <v>184</v>
      </c>
      <c r="S217" s="7"/>
      <c r="T217" s="59" t="s">
        <v>170</v>
      </c>
      <c r="U217" s="59" t="s">
        <v>171</v>
      </c>
    </row>
    <row r="218" spans="1:21" ht="16" x14ac:dyDescent="0.2">
      <c r="A218" s="59" t="s">
        <v>2441</v>
      </c>
      <c r="B218" s="59" t="s">
        <v>2442</v>
      </c>
      <c r="C218" s="59" t="s">
        <v>2443</v>
      </c>
      <c r="D218" s="3" t="s">
        <v>587</v>
      </c>
      <c r="E218" s="3" t="s">
        <v>282</v>
      </c>
      <c r="F218" s="3" t="s">
        <v>587</v>
      </c>
      <c r="G218" s="59"/>
      <c r="H218" s="59"/>
      <c r="I218" s="4">
        <v>8296554988</v>
      </c>
      <c r="J218" s="59"/>
      <c r="K218" s="8" t="b">
        <v>1</v>
      </c>
      <c r="L218" s="5">
        <v>44487</v>
      </c>
      <c r="M218" s="3" t="s">
        <v>181</v>
      </c>
      <c r="N218" s="3" t="s">
        <v>182</v>
      </c>
      <c r="O218" s="6">
        <v>44487.322233796294</v>
      </c>
      <c r="P218" s="6">
        <v>44487.322233796294</v>
      </c>
      <c r="Q218" s="3" t="s">
        <v>918</v>
      </c>
      <c r="R218" s="3" t="s">
        <v>918</v>
      </c>
      <c r="S218" s="7" t="s">
        <v>2444</v>
      </c>
      <c r="T218" s="59" t="s">
        <v>170</v>
      </c>
      <c r="U218" s="59" t="s">
        <v>171</v>
      </c>
    </row>
    <row r="219" spans="1:21" ht="16" x14ac:dyDescent="0.2">
      <c r="A219" s="59" t="s">
        <v>2445</v>
      </c>
      <c r="B219" s="59" t="s">
        <v>2446</v>
      </c>
      <c r="C219" s="59" t="s">
        <v>2447</v>
      </c>
      <c r="D219" s="3" t="s">
        <v>175</v>
      </c>
      <c r="E219" s="3" t="s">
        <v>176</v>
      </c>
      <c r="F219" s="3" t="s">
        <v>177</v>
      </c>
      <c r="G219" s="59" t="s">
        <v>2448</v>
      </c>
      <c r="H219" s="59" t="s">
        <v>2115</v>
      </c>
      <c r="I219" s="4">
        <v>8299779428</v>
      </c>
      <c r="J219" s="59"/>
      <c r="K219" s="8" t="b">
        <v>1</v>
      </c>
      <c r="L219" s="5">
        <v>44487</v>
      </c>
      <c r="M219" s="3" t="s">
        <v>181</v>
      </c>
      <c r="N219" s="3" t="s">
        <v>182</v>
      </c>
      <c r="O219" s="6">
        <v>44487.518263888887</v>
      </c>
      <c r="P219" s="6">
        <v>44487.518263888887</v>
      </c>
      <c r="Q219" s="3" t="s">
        <v>780</v>
      </c>
      <c r="R219" s="3" t="s">
        <v>780</v>
      </c>
      <c r="S219" s="7" t="s">
        <v>2449</v>
      </c>
      <c r="T219" s="59" t="s">
        <v>170</v>
      </c>
      <c r="U219" s="59" t="s">
        <v>171</v>
      </c>
    </row>
    <row r="220" spans="1:21" ht="16" x14ac:dyDescent="0.2">
      <c r="A220" s="59" t="s">
        <v>2450</v>
      </c>
      <c r="B220" s="59" t="s">
        <v>2451</v>
      </c>
      <c r="C220" s="59" t="s">
        <v>2452</v>
      </c>
      <c r="D220" s="3" t="s">
        <v>175</v>
      </c>
      <c r="E220" s="3" t="s">
        <v>176</v>
      </c>
      <c r="F220" s="3" t="s">
        <v>177</v>
      </c>
      <c r="G220" s="59" t="s">
        <v>2453</v>
      </c>
      <c r="H220" s="59" t="s">
        <v>2105</v>
      </c>
      <c r="I220" s="4">
        <v>8299019038</v>
      </c>
      <c r="J220" s="59"/>
      <c r="K220" s="8" t="b">
        <v>1</v>
      </c>
      <c r="L220" s="5">
        <v>44472</v>
      </c>
      <c r="M220" s="3" t="s">
        <v>181</v>
      </c>
      <c r="N220" s="3" t="s">
        <v>182</v>
      </c>
      <c r="O220" s="6">
        <v>44487.546643518515</v>
      </c>
      <c r="P220" s="6">
        <v>44487.546643518515</v>
      </c>
      <c r="Q220" s="3" t="s">
        <v>780</v>
      </c>
      <c r="R220" s="3" t="s">
        <v>780</v>
      </c>
      <c r="S220" s="7" t="s">
        <v>2454</v>
      </c>
      <c r="T220" s="59" t="s">
        <v>170</v>
      </c>
      <c r="U220" s="59" t="s">
        <v>171</v>
      </c>
    </row>
    <row r="221" spans="1:21" ht="16" x14ac:dyDescent="0.2">
      <c r="A221" s="59" t="s">
        <v>2455</v>
      </c>
      <c r="B221" s="59" t="s">
        <v>2456</v>
      </c>
      <c r="C221" s="59" t="s">
        <v>2457</v>
      </c>
      <c r="D221" s="3" t="s">
        <v>175</v>
      </c>
      <c r="E221" s="3" t="s">
        <v>176</v>
      </c>
      <c r="F221" s="3" t="s">
        <v>177</v>
      </c>
      <c r="G221" s="59" t="s">
        <v>2458</v>
      </c>
      <c r="H221" s="59" t="s">
        <v>2102</v>
      </c>
      <c r="I221" s="4">
        <v>8294055625</v>
      </c>
      <c r="J221" s="59"/>
      <c r="K221" s="8" t="b">
        <v>1</v>
      </c>
      <c r="L221" s="5">
        <v>44487</v>
      </c>
      <c r="M221" s="3" t="s">
        <v>181</v>
      </c>
      <c r="N221" s="3" t="s">
        <v>182</v>
      </c>
      <c r="O221" s="6">
        <v>44487.554780092592</v>
      </c>
      <c r="P221" s="6">
        <v>44487.554780092592</v>
      </c>
      <c r="Q221" s="3" t="s">
        <v>780</v>
      </c>
      <c r="R221" s="3" t="s">
        <v>780</v>
      </c>
      <c r="S221" s="7" t="s">
        <v>781</v>
      </c>
      <c r="T221" s="59" t="s">
        <v>170</v>
      </c>
      <c r="U221" s="59" t="s">
        <v>171</v>
      </c>
    </row>
    <row r="222" spans="1:21" ht="16" x14ac:dyDescent="0.2">
      <c r="A222" s="59" t="s">
        <v>2459</v>
      </c>
      <c r="B222" s="59" t="s">
        <v>248</v>
      </c>
      <c r="C222" s="59" t="s">
        <v>2460</v>
      </c>
      <c r="D222" s="3" t="s">
        <v>175</v>
      </c>
      <c r="E222" s="3" t="s">
        <v>282</v>
      </c>
      <c r="F222" s="3" t="s">
        <v>177</v>
      </c>
      <c r="G222" s="59" t="s">
        <v>2461</v>
      </c>
      <c r="H222" s="59" t="s">
        <v>2247</v>
      </c>
      <c r="I222" s="4">
        <v>8099647615</v>
      </c>
      <c r="J222" s="59"/>
      <c r="K222" s="8" t="b">
        <v>1</v>
      </c>
      <c r="L222" s="5">
        <v>44487</v>
      </c>
      <c r="M222" s="3" t="s">
        <v>181</v>
      </c>
      <c r="N222" s="3" t="s">
        <v>182</v>
      </c>
      <c r="O222" s="6">
        <v>44487.558807870373</v>
      </c>
      <c r="P222" s="6">
        <v>44487.558807870373</v>
      </c>
      <c r="Q222" s="3" t="s">
        <v>780</v>
      </c>
      <c r="R222" s="3" t="s">
        <v>780</v>
      </c>
      <c r="S222" s="7" t="s">
        <v>2462</v>
      </c>
      <c r="T222" s="59" t="s">
        <v>170</v>
      </c>
      <c r="U222" s="59" t="s">
        <v>171</v>
      </c>
    </row>
    <row r="223" spans="1:21" ht="16" x14ac:dyDescent="0.2">
      <c r="A223" s="59" t="s">
        <v>2463</v>
      </c>
      <c r="B223" s="59" t="s">
        <v>2464</v>
      </c>
      <c r="C223" s="59" t="s">
        <v>2465</v>
      </c>
      <c r="D223" s="3" t="s">
        <v>175</v>
      </c>
      <c r="E223" s="3" t="s">
        <v>161</v>
      </c>
      <c r="F223" s="3" t="s">
        <v>177</v>
      </c>
      <c r="G223" s="59" t="s">
        <v>2466</v>
      </c>
      <c r="H223" s="59" t="s">
        <v>2467</v>
      </c>
      <c r="I223" s="4">
        <v>8093048850</v>
      </c>
      <c r="J223" s="59"/>
      <c r="K223" s="8" t="b">
        <v>1</v>
      </c>
      <c r="L223" s="5">
        <v>44487</v>
      </c>
      <c r="M223" s="3" t="s">
        <v>181</v>
      </c>
      <c r="N223" s="3" t="s">
        <v>393</v>
      </c>
      <c r="O223" s="6">
        <v>44487.710416666669</v>
      </c>
      <c r="P223" s="6">
        <v>44487.710416666669</v>
      </c>
      <c r="Q223" s="3" t="s">
        <v>780</v>
      </c>
      <c r="R223" s="3" t="s">
        <v>780</v>
      </c>
      <c r="S223" s="7" t="s">
        <v>2468</v>
      </c>
      <c r="T223" s="59" t="s">
        <v>170</v>
      </c>
      <c r="U223" s="59" t="s">
        <v>171</v>
      </c>
    </row>
    <row r="224" spans="1:21" ht="16" x14ac:dyDescent="0.2">
      <c r="A224" s="59" t="s">
        <v>2469</v>
      </c>
      <c r="B224" s="59" t="s">
        <v>2470</v>
      </c>
      <c r="C224" s="59" t="s">
        <v>2471</v>
      </c>
      <c r="D224" s="3" t="s">
        <v>175</v>
      </c>
      <c r="E224" s="3" t="s">
        <v>243</v>
      </c>
      <c r="F224" s="3" t="s">
        <v>177</v>
      </c>
      <c r="G224" s="59" t="s">
        <v>2472</v>
      </c>
      <c r="H224" s="59" t="s">
        <v>2473</v>
      </c>
      <c r="I224" s="4">
        <v>8298018197</v>
      </c>
      <c r="J224" s="59"/>
      <c r="K224" s="8" t="b">
        <v>1</v>
      </c>
      <c r="L224" s="5">
        <v>44487</v>
      </c>
      <c r="M224" s="3" t="s">
        <v>181</v>
      </c>
      <c r="N224" s="3" t="s">
        <v>393</v>
      </c>
      <c r="O224" s="6">
        <v>44487.716446759259</v>
      </c>
      <c r="P224" s="6">
        <v>44487.716446759259</v>
      </c>
      <c r="Q224" s="3" t="s">
        <v>780</v>
      </c>
      <c r="R224" s="3" t="s">
        <v>780</v>
      </c>
      <c r="S224" s="7" t="s">
        <v>1077</v>
      </c>
      <c r="T224" s="59" t="s">
        <v>170</v>
      </c>
      <c r="U224" s="59" t="s">
        <v>171</v>
      </c>
    </row>
    <row r="225" spans="1:21" ht="16" x14ac:dyDescent="0.2">
      <c r="A225" s="59" t="s">
        <v>2474</v>
      </c>
      <c r="B225" s="59" t="s">
        <v>2475</v>
      </c>
      <c r="C225" s="59" t="s">
        <v>2476</v>
      </c>
      <c r="D225" s="3" t="s">
        <v>175</v>
      </c>
      <c r="E225" s="3" t="s">
        <v>176</v>
      </c>
      <c r="F225" s="3" t="s">
        <v>177</v>
      </c>
      <c r="G225" s="59" t="s">
        <v>2477</v>
      </c>
      <c r="H225" s="59" t="s">
        <v>2478</v>
      </c>
      <c r="I225" s="4">
        <v>8293656680</v>
      </c>
      <c r="J225" s="59"/>
      <c r="K225" s="8" t="b">
        <v>1</v>
      </c>
      <c r="L225" s="5">
        <v>44473</v>
      </c>
      <c r="M225" s="3" t="s">
        <v>181</v>
      </c>
      <c r="N225" s="3" t="s">
        <v>182</v>
      </c>
      <c r="O225" s="6">
        <v>44488.261354166665</v>
      </c>
      <c r="P225" s="6">
        <v>44488.261354166665</v>
      </c>
      <c r="Q225" s="3" t="s">
        <v>780</v>
      </c>
      <c r="R225" s="3" t="s">
        <v>780</v>
      </c>
      <c r="S225" s="7" t="s">
        <v>799</v>
      </c>
      <c r="T225" s="59" t="s">
        <v>170</v>
      </c>
      <c r="U225" s="59" t="s">
        <v>171</v>
      </c>
    </row>
    <row r="226" spans="1:21" ht="16" x14ac:dyDescent="0.2">
      <c r="A226" s="59" t="s">
        <v>2479</v>
      </c>
      <c r="B226" s="59" t="s">
        <v>2480</v>
      </c>
      <c r="C226" s="59" t="s">
        <v>2481</v>
      </c>
      <c r="D226" s="3" t="s">
        <v>175</v>
      </c>
      <c r="E226" s="3" t="s">
        <v>161</v>
      </c>
      <c r="F226" s="3" t="s">
        <v>177</v>
      </c>
      <c r="G226" s="59" t="s">
        <v>2482</v>
      </c>
      <c r="H226" s="59"/>
      <c r="I226" s="4">
        <v>8296169403</v>
      </c>
      <c r="J226" s="59"/>
      <c r="K226" s="8" t="b">
        <v>1</v>
      </c>
      <c r="L226" s="5">
        <v>44495</v>
      </c>
      <c r="M226" s="3" t="s">
        <v>181</v>
      </c>
      <c r="N226" s="3" t="s">
        <v>393</v>
      </c>
      <c r="O226" s="6">
        <v>44495.382002314815</v>
      </c>
      <c r="P226" s="6">
        <v>44495.382002314815</v>
      </c>
      <c r="Q226" s="3" t="s">
        <v>570</v>
      </c>
      <c r="R226" s="3" t="s">
        <v>570</v>
      </c>
      <c r="S226" s="7" t="s">
        <v>676</v>
      </c>
      <c r="T226" s="59" t="s">
        <v>170</v>
      </c>
      <c r="U226" s="59" t="s">
        <v>171</v>
      </c>
    </row>
    <row r="227" spans="1:21" x14ac:dyDescent="0.2">
      <c r="A227" s="59" t="s">
        <v>2613</v>
      </c>
      <c r="B227" s="59" t="s">
        <v>2570</v>
      </c>
      <c r="C227" s="59" t="s">
        <v>2571</v>
      </c>
      <c r="D227" s="3" t="s">
        <v>175</v>
      </c>
      <c r="E227" s="3" t="s">
        <v>176</v>
      </c>
      <c r="F227" s="3" t="s">
        <v>177</v>
      </c>
      <c r="G227" s="59" t="s">
        <v>2572</v>
      </c>
      <c r="H227" s="59"/>
      <c r="I227" s="4">
        <v>8099135220</v>
      </c>
      <c r="J227" s="59"/>
      <c r="K227" s="8" t="b">
        <v>1</v>
      </c>
      <c r="L227" s="5">
        <v>44509</v>
      </c>
      <c r="M227" s="3" t="s">
        <v>181</v>
      </c>
      <c r="N227" s="3" t="s">
        <v>393</v>
      </c>
      <c r="O227" s="6">
        <v>44509.442523148151</v>
      </c>
      <c r="P227" s="6">
        <v>44500.936469907407</v>
      </c>
      <c r="Q227" s="3" t="s">
        <v>716</v>
      </c>
      <c r="R227" s="3" t="s">
        <v>184</v>
      </c>
      <c r="S227" s="7"/>
      <c r="T227" s="59" t="s">
        <v>170</v>
      </c>
      <c r="U227" s="59" t="s">
        <v>171</v>
      </c>
    </row>
    <row r="228" spans="1:21" x14ac:dyDescent="0.2">
      <c r="A228" s="59" t="s">
        <v>2573</v>
      </c>
      <c r="B228" s="59" t="s">
        <v>2574</v>
      </c>
      <c r="C228" s="59" t="s">
        <v>353</v>
      </c>
      <c r="D228" s="3" t="s">
        <v>175</v>
      </c>
      <c r="E228" s="3" t="s">
        <v>176</v>
      </c>
      <c r="F228" s="3" t="s">
        <v>177</v>
      </c>
      <c r="G228" s="59" t="s">
        <v>2575</v>
      </c>
      <c r="H228" s="59"/>
      <c r="I228" s="4">
        <v>8298059226</v>
      </c>
      <c r="J228" s="59"/>
      <c r="K228" s="8" t="b">
        <v>1</v>
      </c>
      <c r="L228" s="5">
        <v>44501</v>
      </c>
      <c r="M228" s="3" t="s">
        <v>181</v>
      </c>
      <c r="N228" s="3" t="s">
        <v>393</v>
      </c>
      <c r="O228" s="6">
        <v>44501.244930555556</v>
      </c>
      <c r="P228" s="6">
        <v>44501.244930555556</v>
      </c>
      <c r="Q228" s="3" t="s">
        <v>184</v>
      </c>
      <c r="R228" s="3" t="s">
        <v>184</v>
      </c>
      <c r="S228" s="7"/>
      <c r="T228" s="59" t="s">
        <v>170</v>
      </c>
      <c r="U228" s="59" t="s">
        <v>171</v>
      </c>
    </row>
    <row r="229" spans="1:21" x14ac:dyDescent="0.2">
      <c r="A229" s="59" t="s">
        <v>2576</v>
      </c>
      <c r="B229" s="59" t="s">
        <v>2577</v>
      </c>
      <c r="C229" s="59" t="s">
        <v>1530</v>
      </c>
      <c r="D229" s="3" t="s">
        <v>175</v>
      </c>
      <c r="E229" s="3" t="s">
        <v>161</v>
      </c>
      <c r="F229" s="3" t="s">
        <v>177</v>
      </c>
      <c r="G229" s="59" t="s">
        <v>2578</v>
      </c>
      <c r="H229" s="59"/>
      <c r="I229" s="4">
        <v>8294660083</v>
      </c>
      <c r="J229" s="59"/>
      <c r="K229" s="8" t="b">
        <v>1</v>
      </c>
      <c r="L229" s="5">
        <v>44501</v>
      </c>
      <c r="M229" s="3" t="s">
        <v>181</v>
      </c>
      <c r="N229" s="3" t="s">
        <v>393</v>
      </c>
      <c r="O229" s="6">
        <v>44501.24858796296</v>
      </c>
      <c r="P229" s="6">
        <v>44501.246342592596</v>
      </c>
      <c r="Q229" s="3" t="s">
        <v>184</v>
      </c>
      <c r="R229" s="3" t="s">
        <v>184</v>
      </c>
      <c r="S229" s="7"/>
      <c r="T229" s="59" t="s">
        <v>170</v>
      </c>
      <c r="U229" s="59" t="s">
        <v>171</v>
      </c>
    </row>
    <row r="230" spans="1:21" x14ac:dyDescent="0.2">
      <c r="A230" s="59" t="s">
        <v>2583</v>
      </c>
      <c r="B230" s="59" t="s">
        <v>2584</v>
      </c>
      <c r="C230" s="59" t="s">
        <v>365</v>
      </c>
      <c r="D230" s="3" t="s">
        <v>175</v>
      </c>
      <c r="E230" s="3" t="s">
        <v>176</v>
      </c>
      <c r="F230" s="3" t="s">
        <v>177</v>
      </c>
      <c r="G230" s="59" t="s">
        <v>2585</v>
      </c>
      <c r="H230" s="59"/>
      <c r="I230" s="4">
        <v>8299790354</v>
      </c>
      <c r="J230" s="59"/>
      <c r="K230" s="8" t="b">
        <v>1</v>
      </c>
      <c r="L230" s="5">
        <v>44502</v>
      </c>
      <c r="M230" s="3" t="s">
        <v>181</v>
      </c>
      <c r="N230" s="3" t="s">
        <v>182</v>
      </c>
      <c r="O230" s="6">
        <v>44502.345034722224</v>
      </c>
      <c r="P230" s="6">
        <v>44502.345034722224</v>
      </c>
      <c r="Q230" s="3" t="s">
        <v>184</v>
      </c>
      <c r="R230" s="3" t="s">
        <v>184</v>
      </c>
      <c r="S230" s="7"/>
      <c r="T230" s="59" t="s">
        <v>170</v>
      </c>
      <c r="U230" s="59" t="s">
        <v>171</v>
      </c>
    </row>
    <row r="231" spans="1:21" x14ac:dyDescent="0.2">
      <c r="A231" s="59" t="s">
        <v>2586</v>
      </c>
      <c r="B231" s="59" t="s">
        <v>2587</v>
      </c>
      <c r="C231" s="59" t="s">
        <v>1692</v>
      </c>
      <c r="D231" s="3" t="s">
        <v>175</v>
      </c>
      <c r="E231" s="3" t="s">
        <v>176</v>
      </c>
      <c r="F231" s="3" t="s">
        <v>177</v>
      </c>
      <c r="G231" s="59" t="s">
        <v>2588</v>
      </c>
      <c r="H231" s="59"/>
      <c r="I231" s="4">
        <v>8297189592</v>
      </c>
      <c r="J231" s="59"/>
      <c r="K231" s="8" t="b">
        <v>1</v>
      </c>
      <c r="L231" s="5">
        <v>44505</v>
      </c>
      <c r="M231" s="3" t="s">
        <v>181</v>
      </c>
      <c r="N231" s="3" t="s">
        <v>393</v>
      </c>
      <c r="O231" s="6">
        <v>44505.289594907408</v>
      </c>
      <c r="P231" s="6">
        <v>44505.289594907408</v>
      </c>
      <c r="Q231" s="3" t="s">
        <v>184</v>
      </c>
      <c r="R231" s="3" t="s">
        <v>184</v>
      </c>
      <c r="S231" s="7"/>
      <c r="T231" s="59" t="s">
        <v>170</v>
      </c>
      <c r="U231" s="59" t="s">
        <v>171</v>
      </c>
    </row>
    <row r="232" spans="1:21" x14ac:dyDescent="0.2">
      <c r="A232" s="59" t="s">
        <v>2594</v>
      </c>
      <c r="B232" s="59" t="s">
        <v>2595</v>
      </c>
      <c r="C232" s="59" t="s">
        <v>2596</v>
      </c>
      <c r="D232" s="3" t="s">
        <v>160</v>
      </c>
      <c r="E232" s="3" t="s">
        <v>201</v>
      </c>
      <c r="F232" s="3" t="s">
        <v>160</v>
      </c>
      <c r="G232" s="59" t="s">
        <v>160</v>
      </c>
      <c r="H232" s="59"/>
      <c r="I232" s="4">
        <v>8292702041</v>
      </c>
      <c r="J232" s="59"/>
      <c r="K232" s="8" t="b">
        <v>1</v>
      </c>
      <c r="L232" s="5">
        <v>44508</v>
      </c>
      <c r="M232" s="3" t="s">
        <v>181</v>
      </c>
      <c r="N232" s="3" t="s">
        <v>182</v>
      </c>
      <c r="O232" s="6">
        <v>44508.319976851853</v>
      </c>
      <c r="P232" s="6">
        <v>44508.319976851853</v>
      </c>
      <c r="Q232" s="3" t="s">
        <v>184</v>
      </c>
      <c r="R232" s="3" t="s">
        <v>184</v>
      </c>
      <c r="S232" s="7"/>
      <c r="T232" s="59" t="s">
        <v>170</v>
      </c>
      <c r="U232" s="59" t="s">
        <v>171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21707419054EA489AF6F4585AF8ABC7" ma:contentTypeVersion="14" ma:contentTypeDescription="Crear nuevo documento." ma:contentTypeScope="" ma:versionID="68f763aca31d445de8a45e3fcbd1dc77">
  <xsd:schema xmlns:xsd="http://www.w3.org/2001/XMLSchema" xmlns:xs="http://www.w3.org/2001/XMLSchema" xmlns:p="http://schemas.microsoft.com/office/2006/metadata/properties" xmlns:ns2="9e7ce965-3b7e-4269-8cac-b8d8df1f18b6" xmlns:ns3="55fdb823-f914-4999-ad48-1ea8f3a725db" targetNamespace="http://schemas.microsoft.com/office/2006/metadata/properties" ma:root="true" ma:fieldsID="77b40409f3b8525e167dd60cb8b694b0" ns2:_="" ns3:_="">
    <xsd:import namespace="9e7ce965-3b7e-4269-8cac-b8d8df1f18b6"/>
    <xsd:import namespace="55fdb823-f914-4999-ad48-1ea8f3a725d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7ce965-3b7e-4269-8cac-b8d8df1f18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db823-f914-4999-ad48-1ea8f3a725d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55fdb823-f914-4999-ad48-1ea8f3a725db">
      <UserInfo>
        <DisplayName>Joselyn Diaz - Operaciones</DisplayName>
        <AccountId>41</AccountId>
        <AccountType/>
      </UserInfo>
    </SharedWithUser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185971-E0D7-4098-A861-3647F9AB3A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94E888A-DE66-4A37-84E3-9F0DD42FCC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7ce965-3b7e-4269-8cac-b8d8df1f18b6"/>
    <ds:schemaRef ds:uri="55fdb823-f914-4999-ad48-1ea8f3a725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1BC70AA-A2EC-43D6-B9B9-D99CBB82E9CB}">
  <ds:schemaRefs>
    <ds:schemaRef ds:uri="http://www.w3.org/XML/1998/namespace"/>
    <ds:schemaRef ds:uri="http://purl.org/dc/dcmitype/"/>
    <ds:schemaRef ds:uri="http://purl.org/dc/terms/"/>
    <ds:schemaRef ds:uri="http://purl.org/dc/elements/1.1/"/>
    <ds:schemaRef ds:uri="9e7ce965-3b7e-4269-8cac-b8d8df1f18b6"/>
    <ds:schemaRef ds:uri="http://schemas.microsoft.com/office/2006/documentManagement/types"/>
    <ds:schemaRef ds:uri="55fdb823-f914-4999-ad48-1ea8f3a725db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4BACC0B7-E00D-410C-9239-99ADE093F8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INSTRUCCIONES</vt:lpstr>
      <vt:lpstr>FORMULARIO MANUAL</vt:lpstr>
      <vt:lpstr>DATOS</vt:lpstr>
      <vt:lpstr>HEADCOUNT BACKUP</vt:lpstr>
      <vt:lpstr>CONSULTA GENERAL</vt:lpstr>
      <vt:lpstr>CONSULTA LOCALIDADES</vt:lpstr>
      <vt:lpstr>query_LOCALIDADES</vt:lpstr>
      <vt:lpstr>CONSULTA FIJOS</vt:lpstr>
      <vt:lpstr>query_FIJOS</vt:lpstr>
      <vt:lpstr>query_BACKUP</vt:lpstr>
      <vt:lpstr>CONCEPTOS</vt:lpstr>
      <vt:lpstr>ERRORES</vt:lpstr>
      <vt:lpstr>LOCALIDADES</vt:lpstr>
      <vt:lpstr>MESES</vt:lpstr>
      <vt:lpstr>NOMBRES_FIJOS</vt:lpstr>
      <vt:lpstr>SUPERVISOR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Alfonseca - Operaciones</dc:creator>
  <cp:lastModifiedBy>Luiz Break</cp:lastModifiedBy>
  <dcterms:created xsi:type="dcterms:W3CDTF">2021-07-24T14:40:18Z</dcterms:created>
  <dcterms:modified xsi:type="dcterms:W3CDTF">2021-11-21T23:16:04Z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0x010100F21707419054EA489AF6F4585AF8ABC7</vt:lpwstr>
  </property>
</Properties>
</file>